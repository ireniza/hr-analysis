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C953749-9B8C-4A1D-AD12-258E6C679CCC}" xr6:coauthVersionLast="47" xr6:coauthVersionMax="47" xr10:uidLastSave="{00000000-0000-0000-0000-000000000000}"/>
  <bookViews>
    <workbookView xWindow="7176" yWindow="1236" windowWidth="14568" windowHeight="11004" xr2:uid="{86EA6DD5-F13D-4069-A5C9-31A4BFBF406B}"/>
  </bookViews>
  <sheets>
    <sheet name="Dashboard" sheetId="7" r:id="rId1"/>
    <sheet name="Data" sheetId="2" r:id="rId2"/>
    <sheet name="Salarios" sheetId="3" r:id="rId3"/>
    <sheet name="Headcount" sheetId="4" r:id="rId4"/>
    <sheet name="Educacion" sheetId="1" r:id="rId5"/>
    <sheet name="Antiguedad" sheetId="5" r:id="rId6"/>
    <sheet name="Desempeno" sheetId="6" r:id="rId7"/>
    <sheet name="Auxiliar" sheetId="8" r:id="rId8"/>
  </sheets>
  <definedNames>
    <definedName name="DatosExternos_1" localSheetId="1" hidden="1">Data!$A$1:$L$101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CF71E5-216F-4F8A-9B7F-448F632955B2}" keepAlive="1" name="Consulta - employees" description="Conexión a la consulta 'employees' en el libro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<sst xmlns="http://schemas.openxmlformats.org/spreadsheetml/2006/main" count="1011" uniqueCount="425">
  <si>
    <t>empleado_id</t>
  </si>
  <si>
    <t>nombre</t>
  </si>
  <si>
    <t>apellido</t>
  </si>
  <si>
    <t>genero</t>
  </si>
  <si>
    <t>fecha_nacimiento</t>
  </si>
  <si>
    <t>fecha_ingreso</t>
  </si>
  <si>
    <t>departamento</t>
  </si>
  <si>
    <t>cargo</t>
  </si>
  <si>
    <t>nivel_educativo</t>
  </si>
  <si>
    <t>salario_mensual</t>
  </si>
  <si>
    <t>desempeno</t>
  </si>
  <si>
    <t>ciudad</t>
  </si>
  <si>
    <t>E001</t>
  </si>
  <si>
    <t>Carlos</t>
  </si>
  <si>
    <t>Quispe</t>
  </si>
  <si>
    <t>M</t>
  </si>
  <si>
    <t>Ventas</t>
  </si>
  <si>
    <t>Ejecutivo de Ventas</t>
  </si>
  <si>
    <t>Universitario</t>
  </si>
  <si>
    <t>Bueno</t>
  </si>
  <si>
    <t>Lima</t>
  </si>
  <si>
    <t>E002</t>
  </si>
  <si>
    <t>María</t>
  </si>
  <si>
    <t>Flores</t>
  </si>
  <si>
    <t>F</t>
  </si>
  <si>
    <t>Recursos Humanos</t>
  </si>
  <si>
    <t>Analista de RRHH</t>
  </si>
  <si>
    <t>Excelente</t>
  </si>
  <si>
    <t>E003</t>
  </si>
  <si>
    <t>Jorge</t>
  </si>
  <si>
    <t>Mamani</t>
  </si>
  <si>
    <t>Operaciones</t>
  </si>
  <si>
    <t>Supervisor</t>
  </si>
  <si>
    <t>Técnico</t>
  </si>
  <si>
    <t>Regular</t>
  </si>
  <si>
    <t>Arequipa</t>
  </si>
  <si>
    <t>E004</t>
  </si>
  <si>
    <t>Lucía</t>
  </si>
  <si>
    <t>Torres</t>
  </si>
  <si>
    <t>Tecnología</t>
  </si>
  <si>
    <t>Desarrolladora</t>
  </si>
  <si>
    <t>E005</t>
  </si>
  <si>
    <t>Roberto</t>
  </si>
  <si>
    <t>Huanca</t>
  </si>
  <si>
    <t>Finanzas</t>
  </si>
  <si>
    <t>Contador</t>
  </si>
  <si>
    <t>E006</t>
  </si>
  <si>
    <t>Ana</t>
  </si>
  <si>
    <t>Sánchez</t>
  </si>
  <si>
    <t>Marketing</t>
  </si>
  <si>
    <t>Especialista</t>
  </si>
  <si>
    <t>Trujillo</t>
  </si>
  <si>
    <t>E007</t>
  </si>
  <si>
    <t>Pedro</t>
  </si>
  <si>
    <t>Ccopa</t>
  </si>
  <si>
    <t>Jefe de Planta</t>
  </si>
  <si>
    <t>E008</t>
  </si>
  <si>
    <t>Sofía</t>
  </si>
  <si>
    <t>Vega</t>
  </si>
  <si>
    <t>E009</t>
  </si>
  <si>
    <t>Miguel</t>
  </si>
  <si>
    <t>Ríos</t>
  </si>
  <si>
    <t>Arquitecto de Software</t>
  </si>
  <si>
    <t>Posgrado</t>
  </si>
  <si>
    <t>E010</t>
  </si>
  <si>
    <t>Carmen</t>
  </si>
  <si>
    <t>Paucar</t>
  </si>
  <si>
    <t>Analista Financiero</t>
  </si>
  <si>
    <t>E011</t>
  </si>
  <si>
    <t>Luis</t>
  </si>
  <si>
    <t>Condori</t>
  </si>
  <si>
    <t>Jefe de RRHH</t>
  </si>
  <si>
    <t>E012</t>
  </si>
  <si>
    <t>Patricia</t>
  </si>
  <si>
    <t>Medina</t>
  </si>
  <si>
    <t>Coordinadora</t>
  </si>
  <si>
    <t>E013</t>
  </si>
  <si>
    <t>Fernando</t>
  </si>
  <si>
    <t>Apaza</t>
  </si>
  <si>
    <t>Gerente de Operaciones</t>
  </si>
  <si>
    <t>E014</t>
  </si>
  <si>
    <t>Valeria</t>
  </si>
  <si>
    <t>Cruz</t>
  </si>
  <si>
    <t>QA Engineer</t>
  </si>
  <si>
    <t>E015</t>
  </si>
  <si>
    <t>Andrés</t>
  </si>
  <si>
    <t>Lazo</t>
  </si>
  <si>
    <t>Supervisor de Ventas</t>
  </si>
  <si>
    <t>E016</t>
  </si>
  <si>
    <t>Gabriela</t>
  </si>
  <si>
    <t>Núñez</t>
  </si>
  <si>
    <t>Tesorera</t>
  </si>
  <si>
    <t>E017</t>
  </si>
  <si>
    <t>Ricardo</t>
  </si>
  <si>
    <t>Paredes</t>
  </si>
  <si>
    <t>Gerente de TI</t>
  </si>
  <si>
    <t>E018</t>
  </si>
  <si>
    <t>Diana</t>
  </si>
  <si>
    <t>Rojas</t>
  </si>
  <si>
    <t>Asistente</t>
  </si>
  <si>
    <t>E019</t>
  </si>
  <si>
    <t>Héctor</t>
  </si>
  <si>
    <t>Villanueva</t>
  </si>
  <si>
    <t>Analista de Procesos</t>
  </si>
  <si>
    <t>Cusco</t>
  </si>
  <si>
    <t>E020</t>
  </si>
  <si>
    <t>Mónica</t>
  </si>
  <si>
    <t>Gutiérrez</t>
  </si>
  <si>
    <t>E021</t>
  </si>
  <si>
    <t>César</t>
  </si>
  <si>
    <t>Huamán</t>
  </si>
  <si>
    <t>Gerente Financiero</t>
  </si>
  <si>
    <t>E022</t>
  </si>
  <si>
    <t>Paola</t>
  </si>
  <si>
    <t>Espinoza</t>
  </si>
  <si>
    <t>E023</t>
  </si>
  <si>
    <t>Manuel</t>
  </si>
  <si>
    <t>Ticona</t>
  </si>
  <si>
    <t>Técnico de Mantenimiento</t>
  </si>
  <si>
    <t>Secundaria</t>
  </si>
  <si>
    <t>E024</t>
  </si>
  <si>
    <t>Natalia</t>
  </si>
  <si>
    <t>Bermúdez</t>
  </si>
  <si>
    <t>Analista de Datos</t>
  </si>
  <si>
    <t>E025</t>
  </si>
  <si>
    <t>Álvaro</t>
  </si>
  <si>
    <t>Sucapuca</t>
  </si>
  <si>
    <t>Gerente de Ventas</t>
  </si>
  <si>
    <t>E026</t>
  </si>
  <si>
    <t>Roxana</t>
  </si>
  <si>
    <t>Chávez</t>
  </si>
  <si>
    <t>Especialista en Capacitación</t>
  </si>
  <si>
    <t>E027</t>
  </si>
  <si>
    <t>Iván</t>
  </si>
  <si>
    <t>Desarrollador Backend</t>
  </si>
  <si>
    <t>E028</t>
  </si>
  <si>
    <t>Claudia</t>
  </si>
  <si>
    <t>Herrera</t>
  </si>
  <si>
    <t>Asistente Contable</t>
  </si>
  <si>
    <t>E029</t>
  </si>
  <si>
    <t>Ernesto</t>
  </si>
  <si>
    <t>Málaga</t>
  </si>
  <si>
    <t>Gerente de Marketing</t>
  </si>
  <si>
    <t>E030</t>
  </si>
  <si>
    <t>Verónica</t>
  </si>
  <si>
    <t>Salas</t>
  </si>
  <si>
    <t>Coordinadora Logística</t>
  </si>
  <si>
    <t>E031</t>
  </si>
  <si>
    <t>Javier</t>
  </si>
  <si>
    <t>Ccallo</t>
  </si>
  <si>
    <t>Analista Senior</t>
  </si>
  <si>
    <t>E032</t>
  </si>
  <si>
    <t>Silvia</t>
  </si>
  <si>
    <t>Montoya</t>
  </si>
  <si>
    <t>Ejecutivo de Cuentas</t>
  </si>
  <si>
    <t>E033</t>
  </si>
  <si>
    <t>Raúl</t>
  </si>
  <si>
    <t>Bustamante</t>
  </si>
  <si>
    <t>Psicólogo Organizacional</t>
  </si>
  <si>
    <t>E034</t>
  </si>
  <si>
    <t>Karina</t>
  </si>
  <si>
    <t>Delgado</t>
  </si>
  <si>
    <t>UX Designer</t>
  </si>
  <si>
    <t>E035</t>
  </si>
  <si>
    <t>Óscar</t>
  </si>
  <si>
    <t>Pinto</t>
  </si>
  <si>
    <t>Inspector de Calidad</t>
  </si>
  <si>
    <t>E036</t>
  </si>
  <si>
    <t>Melissa</t>
  </si>
  <si>
    <t>Arias</t>
  </si>
  <si>
    <t>Community Manager</t>
  </si>
  <si>
    <t>E037</t>
  </si>
  <si>
    <t>Gonzalo</t>
  </si>
  <si>
    <t>Vargas</t>
  </si>
  <si>
    <t>DevOps Engineer</t>
  </si>
  <si>
    <t>E038</t>
  </si>
  <si>
    <t>Tatiana</t>
  </si>
  <si>
    <t>Cáceres</t>
  </si>
  <si>
    <t>Analista de Riesgos</t>
  </si>
  <si>
    <t>E039</t>
  </si>
  <si>
    <t>Enrique</t>
  </si>
  <si>
    <t>Díaz</t>
  </si>
  <si>
    <t>Director Comercial</t>
  </si>
  <si>
    <t>E040</t>
  </si>
  <si>
    <t>Lucero</t>
  </si>
  <si>
    <t>Pumayalli</t>
  </si>
  <si>
    <t>Asistente de RRHH</t>
  </si>
  <si>
    <t>E041</t>
  </si>
  <si>
    <t>Sebastián</t>
  </si>
  <si>
    <t>Ortiz</t>
  </si>
  <si>
    <t>Analista de Cadena de Suministro</t>
  </si>
  <si>
    <t>E042</t>
  </si>
  <si>
    <t>Yolanda</t>
  </si>
  <si>
    <t>Farfán</t>
  </si>
  <si>
    <t>Contadora Senior</t>
  </si>
  <si>
    <t>E043</t>
  </si>
  <si>
    <t>Cristian</t>
  </si>
  <si>
    <t>Linares</t>
  </si>
  <si>
    <t>Desarrollador Frontend</t>
  </si>
  <si>
    <t>E044</t>
  </si>
  <si>
    <t>Brenda</t>
  </si>
  <si>
    <t>Zárate</t>
  </si>
  <si>
    <t>Analista de Mercado</t>
  </si>
  <si>
    <t>E045</t>
  </si>
  <si>
    <t>Marcos</t>
  </si>
  <si>
    <t>Cárdenas</t>
  </si>
  <si>
    <t>Gerente de Logística</t>
  </si>
  <si>
    <t>E046</t>
  </si>
  <si>
    <t>Fiorella</t>
  </si>
  <si>
    <t>Lozano</t>
  </si>
  <si>
    <t>E047</t>
  </si>
  <si>
    <t>Diego</t>
  </si>
  <si>
    <t>Salazar</t>
  </si>
  <si>
    <t>Analista de Seguridad</t>
  </si>
  <si>
    <t>E048</t>
  </si>
  <si>
    <t>Pamela</t>
  </si>
  <si>
    <t>Reyes</t>
  </si>
  <si>
    <t>Coordinadora de Bienestar</t>
  </si>
  <si>
    <t>E049</t>
  </si>
  <si>
    <t>Alfredo</t>
  </si>
  <si>
    <t>Cornejo</t>
  </si>
  <si>
    <t>Controller</t>
  </si>
  <si>
    <t>E050</t>
  </si>
  <si>
    <t>Stephanie</t>
  </si>
  <si>
    <t>Villafuerte</t>
  </si>
  <si>
    <t>Asistente de Marketing</t>
  </si>
  <si>
    <t>E051</t>
  </si>
  <si>
    <t>Nicolás</t>
  </si>
  <si>
    <t>Pariona</t>
  </si>
  <si>
    <t>Ejecutivo Senior</t>
  </si>
  <si>
    <t>E052</t>
  </si>
  <si>
    <t>Adriana</t>
  </si>
  <si>
    <t>Meza</t>
  </si>
  <si>
    <t>E053</t>
  </si>
  <si>
    <t>Rodrigo</t>
  </si>
  <si>
    <t>Aliaga</t>
  </si>
  <si>
    <t>Scrum Master</t>
  </si>
  <si>
    <t>E054</t>
  </si>
  <si>
    <t>Lorena</t>
  </si>
  <si>
    <t>Analista Tributaria</t>
  </si>
  <si>
    <t>E055</t>
  </si>
  <si>
    <t>Pablo</t>
  </si>
  <si>
    <t>Huancahuari</t>
  </si>
  <si>
    <t>Gerente de RRHH</t>
  </si>
  <si>
    <t>E056</t>
  </si>
  <si>
    <t>Cecilia</t>
  </si>
  <si>
    <t>Bendezú</t>
  </si>
  <si>
    <t>E057</t>
  </si>
  <si>
    <t>Marcelo</t>
  </si>
  <si>
    <t>Turpo</t>
  </si>
  <si>
    <t>Jefe de Almacén</t>
  </si>
  <si>
    <t>E058</t>
  </si>
  <si>
    <t>Ingrid</t>
  </si>
  <si>
    <t>Campos</t>
  </si>
  <si>
    <t>Business Analyst</t>
  </si>
  <si>
    <t>E059</t>
  </si>
  <si>
    <t>Arturo</t>
  </si>
  <si>
    <t>Benavides</t>
  </si>
  <si>
    <t>Director de Marketing</t>
  </si>
  <si>
    <t>E060</t>
  </si>
  <si>
    <t>Rosa</t>
  </si>
  <si>
    <t>Inca</t>
  </si>
  <si>
    <t>Practicante</t>
  </si>
  <si>
    <t>E061</t>
  </si>
  <si>
    <t>Augusto</t>
  </si>
  <si>
    <t>Mendoza</t>
  </si>
  <si>
    <t>Supervisor Regional</t>
  </si>
  <si>
    <t>E062</t>
  </si>
  <si>
    <t>Milagros</t>
  </si>
  <si>
    <t>Atauje</t>
  </si>
  <si>
    <t>Data Engineer</t>
  </si>
  <si>
    <t>E063</t>
  </si>
  <si>
    <t>Rubén</t>
  </si>
  <si>
    <t>Coaquira</t>
  </si>
  <si>
    <t>Director de Operaciones</t>
  </si>
  <si>
    <t>E064</t>
  </si>
  <si>
    <t>Elizabeth</t>
  </si>
  <si>
    <t>Pumacahua</t>
  </si>
  <si>
    <t>Analista de Selección</t>
  </si>
  <si>
    <t>E065</t>
  </si>
  <si>
    <t>Víctor</t>
  </si>
  <si>
    <t>Soto</t>
  </si>
  <si>
    <t>E066</t>
  </si>
  <si>
    <t>Mariana</t>
  </si>
  <si>
    <t>Cuno</t>
  </si>
  <si>
    <t>Diseñadora Gráfica</t>
  </si>
  <si>
    <t>E067</t>
  </si>
  <si>
    <t>Franklin</t>
  </si>
  <si>
    <t>Gerente de Proyectos</t>
  </si>
  <si>
    <t>E068</t>
  </si>
  <si>
    <t>Jacqueline</t>
  </si>
  <si>
    <t>Huayta</t>
  </si>
  <si>
    <t>Key Account Manager</t>
  </si>
  <si>
    <t>E069</t>
  </si>
  <si>
    <t>Wilmer</t>
  </si>
  <si>
    <t>Choquehuanca</t>
  </si>
  <si>
    <t>Técnico de Procesos</t>
  </si>
  <si>
    <t>Puno</t>
  </si>
  <si>
    <t>E070</t>
  </si>
  <si>
    <t>Sandra</t>
  </si>
  <si>
    <t>Palomino</t>
  </si>
  <si>
    <t>Jefa de Contabilidad</t>
  </si>
  <si>
    <t>E071</t>
  </si>
  <si>
    <t>Dante</t>
  </si>
  <si>
    <t>Especialista en Compensaciones</t>
  </si>
  <si>
    <t>E072</t>
  </si>
  <si>
    <t>Xiomara</t>
  </si>
  <si>
    <t>Tapia</t>
  </si>
  <si>
    <t>Analista Digital</t>
  </si>
  <si>
    <t>E073</t>
  </si>
  <si>
    <t>Walter</t>
  </si>
  <si>
    <t>Llano</t>
  </si>
  <si>
    <t>Gerente de Cuentas</t>
  </si>
  <si>
    <t>E074</t>
  </si>
  <si>
    <t>Pierina</t>
  </si>
  <si>
    <t>Ramos</t>
  </si>
  <si>
    <t>Desarrolladora Móvil</t>
  </si>
  <si>
    <t>E075</t>
  </si>
  <si>
    <t>Abraham</t>
  </si>
  <si>
    <t>Ticlla</t>
  </si>
  <si>
    <t>Gerente de Calidad</t>
  </si>
  <si>
    <t>E076</t>
  </si>
  <si>
    <t>Wendy</t>
  </si>
  <si>
    <t>Estrada</t>
  </si>
  <si>
    <t>Analista de Costos</t>
  </si>
  <si>
    <t>E077</t>
  </si>
  <si>
    <t>Edmundo</t>
  </si>
  <si>
    <t>Puma</t>
  </si>
  <si>
    <t>DBA</t>
  </si>
  <si>
    <t>E078</t>
  </si>
  <si>
    <t>Rossana</t>
  </si>
  <si>
    <t>Llantoy</t>
  </si>
  <si>
    <t>Analista de Clima Laboral</t>
  </si>
  <si>
    <t>E079</t>
  </si>
  <si>
    <t>Germán</t>
  </si>
  <si>
    <t>Cueva</t>
  </si>
  <si>
    <t>Gerente de Producto</t>
  </si>
  <si>
    <t>E080</t>
  </si>
  <si>
    <t>Leonor</t>
  </si>
  <si>
    <t>E081</t>
  </si>
  <si>
    <t>Saúl</t>
  </si>
  <si>
    <t>Carbajal</t>
  </si>
  <si>
    <t>Analista de Logística</t>
  </si>
  <si>
    <t>E082</t>
  </si>
  <si>
    <t>Nadia</t>
  </si>
  <si>
    <t>Mejía</t>
  </si>
  <si>
    <t>Cloud Engineer</t>
  </si>
  <si>
    <t>E083</t>
  </si>
  <si>
    <t>Helio</t>
  </si>
  <si>
    <t>Arones</t>
  </si>
  <si>
    <t>Director Financiero</t>
  </si>
  <si>
    <t>E084</t>
  </si>
  <si>
    <t>Ivette</t>
  </si>
  <si>
    <t>Palma</t>
  </si>
  <si>
    <t>Especialista en SEO</t>
  </si>
  <si>
    <t>E085</t>
  </si>
  <si>
    <t>Ulises</t>
  </si>
  <si>
    <t>Analista de Ventas</t>
  </si>
  <si>
    <t>E086</t>
  </si>
  <si>
    <t>Shirley</t>
  </si>
  <si>
    <t>Mango</t>
  </si>
  <si>
    <t>Asistente Legal</t>
  </si>
  <si>
    <t>E087</t>
  </si>
  <si>
    <t>Supervisor de Producción</t>
  </si>
  <si>
    <t>E088</t>
  </si>
  <si>
    <t>Giuliana</t>
  </si>
  <si>
    <t>Cóndor</t>
  </si>
  <si>
    <t>Analista de Presupuesto</t>
  </si>
  <si>
    <t>E089</t>
  </si>
  <si>
    <t>Teodoro</t>
  </si>
  <si>
    <t>Hancco</t>
  </si>
  <si>
    <t>Arquitecto de Datos</t>
  </si>
  <si>
    <t>E090</t>
  </si>
  <si>
    <t>Pilar</t>
  </si>
  <si>
    <t>Anco</t>
  </si>
  <si>
    <t>Creadora de Contenido</t>
  </si>
  <si>
    <t>E091</t>
  </si>
  <si>
    <t>Rolando</t>
  </si>
  <si>
    <t>E092</t>
  </si>
  <si>
    <t>Flor</t>
  </si>
  <si>
    <t>Ccahuana</t>
  </si>
  <si>
    <t>Analista de Inventarios</t>
  </si>
  <si>
    <t>E093</t>
  </si>
  <si>
    <t>Bruno</t>
  </si>
  <si>
    <t>Líder Técnico</t>
  </si>
  <si>
    <t>E094</t>
  </si>
  <si>
    <t>Cynthia</t>
  </si>
  <si>
    <t>Vilca</t>
  </si>
  <si>
    <t>E095</t>
  </si>
  <si>
    <t>Callata</t>
  </si>
  <si>
    <t>Gerente de Auditoría</t>
  </si>
  <si>
    <t>E096</t>
  </si>
  <si>
    <t>Alejandra</t>
  </si>
  <si>
    <t>Analista de Marca</t>
  </si>
  <si>
    <t>E097</t>
  </si>
  <si>
    <t>Yerson</t>
  </si>
  <si>
    <t>Huallpa</t>
  </si>
  <si>
    <t>Jefe de Ventas</t>
  </si>
  <si>
    <t>E098</t>
  </si>
  <si>
    <t>Katy</t>
  </si>
  <si>
    <t>Suca</t>
  </si>
  <si>
    <t>Analista de BI</t>
  </si>
  <si>
    <t>E099</t>
  </si>
  <si>
    <t>Maximiliano</t>
  </si>
  <si>
    <t>Gerente de Planta</t>
  </si>
  <si>
    <t>E100</t>
  </si>
  <si>
    <t>Delia</t>
  </si>
  <si>
    <t>Tito</t>
  </si>
  <si>
    <t>Total general</t>
  </si>
  <si>
    <t>anios_antiguedad</t>
  </si>
  <si>
    <t>Salario Promedio (S/)</t>
  </si>
  <si>
    <t>Antigüedad Promedio (años)</t>
  </si>
  <si>
    <t>Nivel de Desempeño</t>
  </si>
  <si>
    <t>Departamento</t>
  </si>
  <si>
    <t>N° Empleados</t>
  </si>
  <si>
    <t>Salario Mínimo (S/)</t>
  </si>
  <si>
    <t>Salario Máximo (S/)</t>
  </si>
  <si>
    <t>Género</t>
  </si>
  <si>
    <t>Total</t>
  </si>
  <si>
    <t>Femenino</t>
  </si>
  <si>
    <t>Masculino</t>
  </si>
  <si>
    <t>Empleados</t>
  </si>
  <si>
    <t>Nivel Educativo</t>
  </si>
  <si>
    <t xml:space="preserve">Total </t>
  </si>
  <si>
    <t>Análisis de Recursos Humanosv - [Empresa Confidencial]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</si>
</sst>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Salario Promedio por Departamento (S/)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Salario Promedio (S/)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Auxiliar!$A$2:$A$7</c:f>
              <c:strCache>
                <c:ptCount val="6"/>
                <c:pt idx="0">
                  <c:v>Recursos Humanos</c:v>
                </c:pt>
                <c:pt idx="1">
                  <c:v>Marketing</c:v>
                </c:pt>
                <c:pt idx="2">
                  <c:v>Ventas</c:v>
                </c:pt>
                <c:pt idx="3">
                  <c:v>Operaciones</c:v>
                </c:pt>
                <c:pt idx="4">
                  <c:v>Finanzas</c:v>
                </c:pt>
                <c:pt idx="5">
                  <c:v>Tecnología</c:v>
                </c:pt>
              </c:strCache>
            </c:strRef>
          </c:cat>
          <c:val>
            <c:numRef>
              <c:f>Auxiliar!$B$2:$B$7</c:f>
              <c:numCache>
                <c:formatCode>0.00</c:formatCode>
                <c:ptCount val="6"/>
                <c:pt idx="0">
                  <c:v>3450</c:v>
                </c:pt>
                <c:pt idx="1">
                  <c:v>4192.8571428571431</c:v>
                </c:pt>
                <c:pt idx="2">
                  <c:v>4558.8235294117649</c:v>
                </c:pt>
                <c:pt idx="3">
                  <c:v>4716.666666666667</c:v>
                </c:pt>
                <c:pt idx="4">
                  <c:v>5011.7647058823532</c:v>
                </c:pt>
                <c:pt idx="5">
                  <c:v>5420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B-4EDF-802E-DE831A432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72095"/>
        <c:axId val="469805551"/>
      </c:barChart>
      <c:catAx>
        <c:axId val="104867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9805551"/>
        <c:crosses val="autoZero"/>
        <c:auto val="1"/>
        <c:lblAlgn val="ctr"/>
        <c:lblOffset val="100"/>
        <c:noMultiLvlLbl val="0"/>
      </c:catAx>
      <c:valAx>
        <c:axId val="46980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867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Distribución de Género por Departamento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Auxiliar!$B$10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Auxiliar!$A$11:$A$16</c:f>
              <c:strCache>
                <c:ptCount val="6"/>
                <c:pt idx="0">
                  <c:v>Finanzas</c:v>
                </c:pt>
                <c:pt idx="1">
                  <c:v>Marketing</c:v>
                </c:pt>
                <c:pt idx="2">
                  <c:v>Operaciones</c:v>
                </c:pt>
                <c:pt idx="3">
                  <c:v>Recursos Humanos</c:v>
                </c:pt>
                <c:pt idx="4">
                  <c:v>Tecnología</c:v>
                </c:pt>
                <c:pt idx="5">
                  <c:v>Ventas</c:v>
                </c:pt>
              </c:strCache>
            </c:strRef>
          </c:cat>
          <c:val>
            <c:numRef>
              <c:f>Auxiliar!$B$11:$B$16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3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0-47EB-8C2C-8679240EB806}"/>
            </c:ext>
          </c:extLst>
        </c:ser>
        <c:ser>
          <c:idx val="1"/>
          <c:order val="1"/>
          <c:tx>
            <c:strRef>
              <c:f>Auxiliar!$C$10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Auxiliar!$A$11:$A$16</c:f>
              <c:strCache>
                <c:ptCount val="6"/>
                <c:pt idx="0">
                  <c:v>Finanzas</c:v>
                </c:pt>
                <c:pt idx="1">
                  <c:v>Marketing</c:v>
                </c:pt>
                <c:pt idx="2">
                  <c:v>Operaciones</c:v>
                </c:pt>
                <c:pt idx="3">
                  <c:v>Recursos Humanos</c:v>
                </c:pt>
                <c:pt idx="4">
                  <c:v>Tecnología</c:v>
                </c:pt>
                <c:pt idx="5">
                  <c:v>Ventas</c:v>
                </c:pt>
              </c:strCache>
            </c:strRef>
          </c:cat>
          <c:val>
            <c:numRef>
              <c:f>Auxiliar!$C$11:$C$16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15</c:v>
                </c:pt>
                <c:pt idx="3">
                  <c:v>4</c:v>
                </c:pt>
                <c:pt idx="4">
                  <c:v>11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0-47EB-8C2C-8679240E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8682303"/>
        <c:axId val="1469084015"/>
      </c:barChart>
      <c:catAx>
        <c:axId val="104868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69084015"/>
        <c:crosses val="autoZero"/>
        <c:auto val="1"/>
        <c:lblAlgn val="ctr"/>
        <c:lblOffset val="100"/>
        <c:noMultiLvlLbl val="0"/>
      </c:catAx>
      <c:valAx>
        <c:axId val="146908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868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Salario Promedio por Nivel Educativo (S/)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Auxiliar!$B$19</c:f>
              <c:strCache>
                <c:ptCount val="1"/>
                <c:pt idx="0">
                  <c:v>Salario Promedio (S/)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Auxiliar!$A$20:$A$23</c:f>
              <c:strCache>
                <c:ptCount val="4"/>
                <c:pt idx="0">
                  <c:v>Secundaria</c:v>
                </c:pt>
                <c:pt idx="1">
                  <c:v>Técnico</c:v>
                </c:pt>
                <c:pt idx="2">
                  <c:v>Universitario</c:v>
                </c:pt>
                <c:pt idx="3">
                  <c:v>Posgrado</c:v>
                </c:pt>
              </c:strCache>
            </c:strRef>
          </c:cat>
          <c:val>
            <c:numRef>
              <c:f>Auxiliar!$B$20:$B$23</c:f>
              <c:numCache>
                <c:formatCode>0.00</c:formatCode>
                <c:ptCount val="4"/>
                <c:pt idx="0">
                  <c:v>1950</c:v>
                </c:pt>
                <c:pt idx="1">
                  <c:v>2607.6923076923076</c:v>
                </c:pt>
                <c:pt idx="2">
                  <c:v>3715.625</c:v>
                </c:pt>
                <c:pt idx="3">
                  <c:v>8923.8095238095229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3-4DE3-B856-D5FB0D6DC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650287"/>
        <c:axId val="1469172335"/>
      </c:barChart>
      <c:catAx>
        <c:axId val="10486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69172335"/>
        <c:crosses val="autoZero"/>
        <c:auto val="1"/>
        <c:lblAlgn val="ctr"/>
        <c:lblOffset val="100"/>
        <c:noMultiLvlLbl val="0"/>
      </c:catAx>
      <c:valAx>
        <c:axId val="14691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865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Antigüedad Promedio por Departamento (años)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Antigüedad Promedio (años)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Auxiliar!$F$2:$F$7</c:f>
              <c:strCache>
                <c:ptCount val="6"/>
                <c:pt idx="0">
                  <c:v>Marketing</c:v>
                </c:pt>
                <c:pt idx="1">
                  <c:v>Recursos Humanos</c:v>
                </c:pt>
                <c:pt idx="2">
                  <c:v>Tecnología</c:v>
                </c:pt>
                <c:pt idx="3">
                  <c:v>Ventas</c:v>
                </c:pt>
                <c:pt idx="4">
                  <c:v>Finanzas</c:v>
                </c:pt>
                <c:pt idx="5">
                  <c:v>Operaciones</c:v>
                </c:pt>
              </c:strCache>
            </c:strRef>
          </c:cat>
          <c:val>
            <c:numRef>
              <c:f>Auxiliar!$G$2:$G$7</c:f>
              <c:numCache>
                <c:formatCode>0</c:formatCode>
                <c:ptCount val="6"/>
                <c:pt idx="0">
                  <c:v>7.5</c:v>
                </c:pt>
                <c:pt idx="1">
                  <c:v>9.3571428571428594</c:v>
                </c:pt>
                <c:pt idx="2">
                  <c:v>10</c:v>
                </c:pt>
                <c:pt idx="3">
                  <c:v>10.470588235294118</c:v>
                </c:pt>
                <c:pt idx="4">
                  <c:v>11.117647058823529</c:v>
                </c:pt>
                <c:pt idx="5">
                  <c:v>14.555555555555555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8-4BEC-8E4C-B631EEAC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19663"/>
        <c:axId val="1469188655"/>
      </c:barChart>
      <c:catAx>
        <c:axId val="104861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69188655"/>
        <c:crosses val="autoZero"/>
        <c:auto val="1"/>
        <c:lblAlgn val="ctr"/>
        <c:lblOffset val="100"/>
        <c:noMultiLvlLbl val="0"/>
      </c:catAx>
      <c:valAx>
        <c:axId val="146918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861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Distribución de Desempeño por Departamento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Auxiliar!$G$10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Auxiliar!$F$11:$F$16</c:f>
              <c:strCache>
                <c:ptCount val="6"/>
                <c:pt idx="0">
                  <c:v>Finanzas</c:v>
                </c:pt>
                <c:pt idx="1">
                  <c:v>Marketing</c:v>
                </c:pt>
                <c:pt idx="2">
                  <c:v>Operaciones</c:v>
                </c:pt>
                <c:pt idx="3">
                  <c:v>Recursos Humanos</c:v>
                </c:pt>
                <c:pt idx="4">
                  <c:v>Tecnología</c:v>
                </c:pt>
                <c:pt idx="5">
                  <c:v>Ventas</c:v>
                </c:pt>
              </c:strCache>
            </c:strRef>
          </c:cat>
          <c:val>
            <c:numRef>
              <c:f>Auxiliar!$G$11:$G$16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B-40B7-BBCF-D56E3B7A416E}"/>
            </c:ext>
          </c:extLst>
        </c:ser>
        <c:ser>
          <c:idx val="1"/>
          <c:order val="1"/>
          <c:tx>
            <c:strRef>
              <c:f>Auxiliar!$H$10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Auxiliar!$F$11:$F$16</c:f>
              <c:strCache>
                <c:ptCount val="6"/>
                <c:pt idx="0">
                  <c:v>Finanzas</c:v>
                </c:pt>
                <c:pt idx="1">
                  <c:v>Marketing</c:v>
                </c:pt>
                <c:pt idx="2">
                  <c:v>Operaciones</c:v>
                </c:pt>
                <c:pt idx="3">
                  <c:v>Recursos Humanos</c:v>
                </c:pt>
                <c:pt idx="4">
                  <c:v>Tecnología</c:v>
                </c:pt>
                <c:pt idx="5">
                  <c:v>Ventas</c:v>
                </c:pt>
              </c:strCache>
            </c:strRef>
          </c:cat>
          <c:val>
            <c:numRef>
              <c:f>Auxiliar!$H$11:$H$16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15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B-40B7-BBCF-D56E3B7A416E}"/>
            </c:ext>
          </c:extLst>
        </c:ser>
        <c:ser>
          <c:idx val="2"/>
          <c:order val="2"/>
          <c:tx>
            <c:strRef>
              <c:f>Auxiliar!$I$10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Auxiliar!$F$11:$F$16</c:f>
              <c:strCache>
                <c:ptCount val="6"/>
                <c:pt idx="0">
                  <c:v>Finanzas</c:v>
                </c:pt>
                <c:pt idx="1">
                  <c:v>Marketing</c:v>
                </c:pt>
                <c:pt idx="2">
                  <c:v>Operaciones</c:v>
                </c:pt>
                <c:pt idx="3">
                  <c:v>Recursos Humanos</c:v>
                </c:pt>
                <c:pt idx="4">
                  <c:v>Tecnología</c:v>
                </c:pt>
                <c:pt idx="5">
                  <c:v>Ventas</c:v>
                </c:pt>
              </c:strCache>
            </c:strRef>
          </c:cat>
          <c:val>
            <c:numRef>
              <c:f>Auxiliar!$I$11:$I$16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9B-40B7-BBCF-D56E3B7A4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854432"/>
        <c:axId val="1161749840"/>
      </c:barChart>
      <c:catAx>
        <c:axId val="101885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61749840"/>
        <c:crosses val="autoZero"/>
        <c:auto val="1"/>
        <c:lblAlgn val="ctr"/>
        <c:lblOffset val="100"/>
        <c:noMultiLvlLbl val="0"/>
      </c:catAx>
      <c:valAx>
        <c:axId val="116174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188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</xdr:row>
      <xdr:rowOff>167640</xdr:rowOff>
    </xdr:from>
    <xdr:to>
      <xdr:col>7</xdr:col>
      <xdr:colOff>22860</xdr:colOff>
      <xdr:row>19</xdr:row>
      <xdr:rowOff>7620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D087B242-6E8D-6142-B644-33872EDEC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2</xdr:row>
      <xdr:rowOff>175260</xdr:rowOff>
    </xdr:from>
    <xdr:to>
      <xdr:col>13</xdr:col>
      <xdr:colOff>777240</xdr:colOff>
      <xdr:row>18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A7A7F9-1043-8864-19E7-4EE6F291F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21</xdr:row>
      <xdr:rowOff>3810</xdr:rowOff>
    </xdr:from>
    <xdr:to>
      <xdr:col>7</xdr:col>
      <xdr:colOff>7620</xdr:colOff>
      <xdr:row>37</xdr:row>
      <xdr:rowOff>30480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9A455143-33B0-9826-70FF-1D1F6D030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3810</xdr:rowOff>
    </xdr:from>
    <xdr:to>
      <xdr:col>14</xdr:col>
      <xdr:colOff>15240</xdr:colOff>
      <xdr:row>37</xdr:row>
      <xdr:rowOff>7620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76A58464-9F26-50FA-AA06-1DAE1D589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784860</xdr:colOff>
      <xdr:row>3</xdr:row>
      <xdr:rowOff>3810</xdr:rowOff>
    </xdr:from>
    <xdr:to>
      <xdr:col>21</xdr:col>
      <xdr:colOff>777240</xdr:colOff>
      <xdr:row>20</xdr:row>
      <xdr:rowOff>167640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5BB3446B-9FED-EC37-FE4D-C49ED518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4.09631828704" createdVersion="8" refreshedVersion="8" minRefreshableVersion="3" recordCount="100" xr:uid="{8F091C27-AC50-4906-AA1A-B1DCD31CBE46}">
  <cacheSource type="worksheet">
    <worksheetSource name="tbl_empleados"/>
  </cacheSource>
  <cacheFields count="13">
    <cacheField name="empleado_id" numFmtId="0">
      <sharedItems/>
    </cacheField>
    <cacheField name="nombre" numFmtId="0">
      <sharedItems/>
    </cacheField>
    <cacheField name="apellido" numFmtId="0">
      <sharedItems/>
    </cacheField>
    <cacheField name="genero" numFmtId="0">
      <sharedItems count="2">
        <s v="M"/>
        <s v="F"/>
      </sharedItems>
    </cacheField>
    <cacheField name="fecha_nacimiento" numFmtId="14">
      <sharedItems containsSemiMixedTypes="0" containsNonDate="0" containsDate="1" containsString="0" minDate="1978-10-13T00:00:00" maxDate="1999-04-02T00:00:00"/>
    </cacheField>
    <cacheField name="fecha_ingreso" numFmtId="14">
      <sharedItems containsSemiMixedTypes="0" containsNonDate="0" containsDate="1" containsString="0" minDate="2005-01-20T00:00:00" maxDate="2024-02-02T00:00:00"/>
    </cacheField>
    <cacheField name="departamento" numFmtId="0">
      <sharedItems count="6">
        <s v="Ventas"/>
        <s v="Recursos Humanos"/>
        <s v="Operaciones"/>
        <s v="Tecnología"/>
        <s v="Finanzas"/>
        <s v="Marketing"/>
      </sharedItems>
    </cacheField>
    <cacheField name="cargo" numFmtId="0">
      <sharedItems/>
    </cacheField>
    <cacheField name="nivel_educativo" numFmtId="0">
      <sharedItems count="4">
        <s v="Universitario"/>
        <s v="Técnico"/>
        <s v="Posgrado"/>
        <s v="Secundaria"/>
      </sharedItems>
    </cacheField>
    <cacheField name="salario_mensual" numFmtId="0">
      <sharedItems containsSemiMixedTypes="0" containsString="0" containsNumber="1" containsInteger="1" minValue="1000" maxValue="14000"/>
    </cacheField>
    <cacheField name="desempeno" numFmtId="0">
      <sharedItems count="3">
        <s v="Bueno"/>
        <s v="Excelente"/>
        <s v="Regular"/>
      </sharedItems>
    </cacheField>
    <cacheField name="ciudad" numFmtId="0">
      <sharedItems/>
    </cacheField>
    <cacheField name="anios_antiguedad" numFmtId="1">
      <sharedItems containsSemiMixedTypes="0" containsString="0" containsNumber="1" containsInteger="1" minValue="2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001"/>
    <s v="Carlos"/>
    <s v="Quispe"/>
    <x v="0"/>
    <d v="1985-03-12T00:00:00"/>
    <d v="2015-06-01T00:00:00"/>
    <x v="0"/>
    <s v="Ejecutivo de Ventas"/>
    <x v="0"/>
    <n v="3200"/>
    <x v="0"/>
    <s v="Lima"/>
    <n v="11"/>
  </r>
  <r>
    <s v="E002"/>
    <s v="María"/>
    <s v="Flores"/>
    <x v="1"/>
    <d v="1990-07-24T00:00:00"/>
    <d v="2018-02-15T00:00:00"/>
    <x v="1"/>
    <s v="Analista de RRHH"/>
    <x v="0"/>
    <n v="2800"/>
    <x v="1"/>
    <s v="Lima"/>
    <n v="8"/>
  </r>
  <r>
    <s v="E003"/>
    <s v="Jorge"/>
    <s v="Mamani"/>
    <x v="0"/>
    <d v="1982-11-05T00:00:00"/>
    <d v="2010-09-01T00:00:00"/>
    <x v="2"/>
    <s v="Supervisor"/>
    <x v="1"/>
    <n v="2500"/>
    <x v="2"/>
    <s v="Arequipa"/>
    <n v="15"/>
  </r>
  <r>
    <s v="E004"/>
    <s v="Lucía"/>
    <s v="Torres"/>
    <x v="1"/>
    <d v="1995-01-30T00:00:00"/>
    <d v="2020-03-10T00:00:00"/>
    <x v="3"/>
    <s v="Desarrolladora"/>
    <x v="0"/>
    <n v="4200"/>
    <x v="1"/>
    <s v="Lima"/>
    <n v="6"/>
  </r>
  <r>
    <s v="E005"/>
    <s v="Roberto"/>
    <s v="Huanca"/>
    <x v="0"/>
    <d v="1988-06-18T00:00:00"/>
    <d v="2013-11-20T00:00:00"/>
    <x v="4"/>
    <s v="Contador"/>
    <x v="0"/>
    <n v="3500"/>
    <x v="0"/>
    <s v="Lima"/>
    <n v="12"/>
  </r>
  <r>
    <s v="E006"/>
    <s v="Ana"/>
    <s v="Sánchez"/>
    <x v="1"/>
    <d v="1992-09-14T00:00:00"/>
    <d v="2019-05-05T00:00:00"/>
    <x v="5"/>
    <s v="Especialista"/>
    <x v="0"/>
    <n v="3100"/>
    <x v="0"/>
    <s v="Trujillo"/>
    <n v="7"/>
  </r>
  <r>
    <s v="E007"/>
    <s v="Pedro"/>
    <s v="Ccopa"/>
    <x v="0"/>
    <d v="1980-04-22T00:00:00"/>
    <d v="2008-01-15T00:00:00"/>
    <x v="2"/>
    <s v="Jefe de Planta"/>
    <x v="1"/>
    <n v="4800"/>
    <x v="0"/>
    <s v="Arequipa"/>
    <n v="18"/>
  </r>
  <r>
    <s v="E008"/>
    <s v="Sofía"/>
    <s v="Vega"/>
    <x v="1"/>
    <d v="1997-12-03T00:00:00"/>
    <d v="2022-08-01T00:00:00"/>
    <x v="0"/>
    <s v="Ejecutivo de Ventas"/>
    <x v="0"/>
    <n v="2900"/>
    <x v="2"/>
    <s v="Lima"/>
    <n v="3"/>
  </r>
  <r>
    <s v="E009"/>
    <s v="Miguel"/>
    <s v="Ríos"/>
    <x v="0"/>
    <d v="1986-08-09T00:00:00"/>
    <d v="2014-04-20T00:00:00"/>
    <x v="3"/>
    <s v="Arquitecto de Software"/>
    <x v="2"/>
    <n v="6500"/>
    <x v="1"/>
    <s v="Lima"/>
    <n v="12"/>
  </r>
  <r>
    <s v="E010"/>
    <s v="Carmen"/>
    <s v="Paucar"/>
    <x v="1"/>
    <d v="1991-02-27T00:00:00"/>
    <d v="2017-10-10T00:00:00"/>
    <x v="4"/>
    <s v="Analista Financiero"/>
    <x v="0"/>
    <n v="3300"/>
    <x v="0"/>
    <s v="Lima"/>
    <n v="8"/>
  </r>
  <r>
    <s v="E011"/>
    <s v="Luis"/>
    <s v="Condori"/>
    <x v="0"/>
    <d v="1984-05-16T00:00:00"/>
    <d v="2011-07-01T00:00:00"/>
    <x v="1"/>
    <s v="Jefe de RRHH"/>
    <x v="2"/>
    <n v="5200"/>
    <x v="1"/>
    <s v="Lima"/>
    <n v="15"/>
  </r>
  <r>
    <s v="E012"/>
    <s v="Patricia"/>
    <s v="Medina"/>
    <x v="1"/>
    <d v="1993-10-08T00:00:00"/>
    <d v="2018-12-03T00:00:00"/>
    <x v="5"/>
    <s v="Coordinadora"/>
    <x v="0"/>
    <n v="3400"/>
    <x v="0"/>
    <s v="Lima"/>
    <n v="7"/>
  </r>
  <r>
    <s v="E013"/>
    <s v="Fernando"/>
    <s v="Apaza"/>
    <x v="0"/>
    <d v="1979-07-31T00:00:00"/>
    <d v="2006-03-14T00:00:00"/>
    <x v="2"/>
    <s v="Gerente de Operaciones"/>
    <x v="2"/>
    <n v="7800"/>
    <x v="1"/>
    <s v="Arequipa"/>
    <n v="20"/>
  </r>
  <r>
    <s v="E014"/>
    <s v="Valeria"/>
    <s v="Cruz"/>
    <x v="1"/>
    <d v="1996-04-19T00:00:00"/>
    <d v="2021-06-07T00:00:00"/>
    <x v="3"/>
    <s v="QA Engineer"/>
    <x v="0"/>
    <n v="3800"/>
    <x v="0"/>
    <s v="Lima"/>
    <n v="5"/>
  </r>
  <r>
    <s v="E015"/>
    <s v="Andrés"/>
    <s v="Lazo"/>
    <x v="0"/>
    <d v="1989-01-25T00:00:00"/>
    <d v="2016-09-01T00:00:00"/>
    <x v="0"/>
    <s v="Supervisor de Ventas"/>
    <x v="0"/>
    <n v="4100"/>
    <x v="0"/>
    <s v="Trujillo"/>
    <n v="9"/>
  </r>
  <r>
    <s v="E016"/>
    <s v="Gabriela"/>
    <s v="Núñez"/>
    <x v="1"/>
    <d v="1994-08-11T00:00:00"/>
    <d v="2020-11-15T00:00:00"/>
    <x v="4"/>
    <s v="Tesorera"/>
    <x v="0"/>
    <n v="3600"/>
    <x v="1"/>
    <s v="Lima"/>
    <n v="5"/>
  </r>
  <r>
    <s v="E017"/>
    <s v="Ricardo"/>
    <s v="Paredes"/>
    <x v="0"/>
    <d v="1983-03-07T00:00:00"/>
    <d v="2009-05-20T00:00:00"/>
    <x v="3"/>
    <s v="Gerente de TI"/>
    <x v="2"/>
    <n v="8500"/>
    <x v="1"/>
    <s v="Lima"/>
    <n v="17"/>
  </r>
  <r>
    <s v="E018"/>
    <s v="Diana"/>
    <s v="Rojas"/>
    <x v="1"/>
    <d v="1998-06-29T00:00:00"/>
    <d v="2023-01-10T00:00:00"/>
    <x v="5"/>
    <s v="Asistente"/>
    <x v="1"/>
    <n v="2200"/>
    <x v="2"/>
    <s v="Lima"/>
    <n v="3"/>
  </r>
  <r>
    <s v="E019"/>
    <s v="Héctor"/>
    <s v="Villanueva"/>
    <x v="0"/>
    <d v="1987-11-14T00:00:00"/>
    <d v="2013-08-01T00:00:00"/>
    <x v="2"/>
    <s v="Analista de Procesos"/>
    <x v="0"/>
    <n v="3000"/>
    <x v="0"/>
    <s v="Cusco"/>
    <n v="12"/>
  </r>
  <r>
    <s v="E020"/>
    <s v="Mónica"/>
    <s v="Gutiérrez"/>
    <x v="1"/>
    <d v="1990-09-02T00:00:00"/>
    <d v="2017-02-28T00:00:00"/>
    <x v="1"/>
    <s v="Analista de RRHH"/>
    <x v="0"/>
    <n v="2700"/>
    <x v="2"/>
    <s v="Lima"/>
    <n v="9"/>
  </r>
  <r>
    <s v="E021"/>
    <s v="César"/>
    <s v="Huamán"/>
    <x v="0"/>
    <d v="1981-12-20T00:00:00"/>
    <d v="2007-10-15T00:00:00"/>
    <x v="4"/>
    <s v="Gerente Financiero"/>
    <x v="2"/>
    <n v="9200"/>
    <x v="1"/>
    <s v="Lima"/>
    <n v="18"/>
  </r>
  <r>
    <s v="E022"/>
    <s v="Paola"/>
    <s v="Espinoza"/>
    <x v="1"/>
    <d v="1995-05-17T00:00:00"/>
    <d v="2021-03-22T00:00:00"/>
    <x v="0"/>
    <s v="Ejecutivo de Ventas"/>
    <x v="1"/>
    <n v="2600"/>
    <x v="2"/>
    <s v="Lima"/>
    <n v="5"/>
  </r>
  <r>
    <s v="E023"/>
    <s v="Manuel"/>
    <s v="Ticona"/>
    <x v="0"/>
    <d v="1986-02-08T00:00:00"/>
    <d v="2012-06-01T00:00:00"/>
    <x v="2"/>
    <s v="Técnico de Mantenimiento"/>
    <x v="3"/>
    <n v="1900"/>
    <x v="2"/>
    <s v="Arequipa"/>
    <n v="14"/>
  </r>
  <r>
    <s v="E024"/>
    <s v="Natalia"/>
    <s v="Bermúdez"/>
    <x v="1"/>
    <d v="1993-07-26T00:00:00"/>
    <d v="2019-09-10T00:00:00"/>
    <x v="3"/>
    <s v="Analista de Datos"/>
    <x v="0"/>
    <n v="4500"/>
    <x v="1"/>
    <s v="Lima"/>
    <n v="6"/>
  </r>
  <r>
    <s v="E025"/>
    <s v="Álvaro"/>
    <s v="Sucapuca"/>
    <x v="0"/>
    <d v="1978-10-13T00:00:00"/>
    <d v="2005-01-20T00:00:00"/>
    <x v="0"/>
    <s v="Gerente de Ventas"/>
    <x v="2"/>
    <n v="8800"/>
    <x v="1"/>
    <s v="Lima"/>
    <n v="21"/>
  </r>
  <r>
    <s v="E026"/>
    <s v="Roxana"/>
    <s v="Chávez"/>
    <x v="1"/>
    <d v="1992-03-04T00:00:00"/>
    <d v="2018-07-01T00:00:00"/>
    <x v="1"/>
    <s v="Especialista en Capacitación"/>
    <x v="0"/>
    <n v="3100"/>
    <x v="0"/>
    <s v="Lima"/>
    <n v="8"/>
  </r>
  <r>
    <s v="E027"/>
    <s v="Iván"/>
    <s v="Quispe"/>
    <x v="0"/>
    <d v="1988-08-21T00:00:00"/>
    <d v="2015-12-01T00:00:00"/>
    <x v="3"/>
    <s v="Desarrollador Backend"/>
    <x v="0"/>
    <n v="4300"/>
    <x v="0"/>
    <s v="Lima"/>
    <n v="10"/>
  </r>
  <r>
    <s v="E028"/>
    <s v="Claudia"/>
    <s v="Herrera"/>
    <x v="1"/>
    <d v="1997-01-15T00:00:00"/>
    <d v="2022-05-16T00:00:00"/>
    <x v="4"/>
    <s v="Asistente Contable"/>
    <x v="1"/>
    <n v="2100"/>
    <x v="2"/>
    <s v="Lima"/>
    <n v="4"/>
  </r>
  <r>
    <s v="E029"/>
    <s v="Ernesto"/>
    <s v="Málaga"/>
    <x v="0"/>
    <d v="1984-06-30T00:00:00"/>
    <d v="2010-11-01T00:00:00"/>
    <x v="5"/>
    <s v="Gerente de Marketing"/>
    <x v="2"/>
    <n v="8200"/>
    <x v="1"/>
    <s v="Lima"/>
    <n v="15"/>
  </r>
  <r>
    <s v="E030"/>
    <s v="Verónica"/>
    <s v="Salas"/>
    <x v="1"/>
    <d v="1991-11-09T00:00:00"/>
    <d v="2016-04-05T00:00:00"/>
    <x v="2"/>
    <s v="Coordinadora Logística"/>
    <x v="0"/>
    <n v="3200"/>
    <x v="0"/>
    <s v="Trujillo"/>
    <n v="10"/>
  </r>
  <r>
    <s v="E031"/>
    <s v="Javier"/>
    <s v="Ccallo"/>
    <x v="0"/>
    <d v="1980-09-17T00:00:00"/>
    <d v="2007-08-20T00:00:00"/>
    <x v="4"/>
    <s v="Analista Senior"/>
    <x v="0"/>
    <n v="4700"/>
    <x v="0"/>
    <s v="Lima"/>
    <n v="18"/>
  </r>
  <r>
    <s v="E032"/>
    <s v="Silvia"/>
    <s v="Montoya"/>
    <x v="1"/>
    <d v="1994-04-23T00:00:00"/>
    <d v="2020-07-12T00:00:00"/>
    <x v="0"/>
    <s v="Ejecutivo de Cuentas"/>
    <x v="0"/>
    <n v="3300"/>
    <x v="0"/>
    <s v="Lima"/>
    <n v="6"/>
  </r>
  <r>
    <s v="E033"/>
    <s v="Raúl"/>
    <s v="Bustamante"/>
    <x v="0"/>
    <d v="1985-02-11T00:00:00"/>
    <d v="2011-03-01T00:00:00"/>
    <x v="1"/>
    <s v="Psicólogo Organizacional"/>
    <x v="0"/>
    <n v="3400"/>
    <x v="0"/>
    <s v="Lima"/>
    <n v="15"/>
  </r>
  <r>
    <s v="E034"/>
    <s v="Karina"/>
    <s v="Delgado"/>
    <x v="1"/>
    <d v="1990-12-28T00:00:00"/>
    <d v="2017-06-20T00:00:00"/>
    <x v="3"/>
    <s v="UX Designer"/>
    <x v="0"/>
    <n v="4000"/>
    <x v="1"/>
    <s v="Lima"/>
    <n v="9"/>
  </r>
  <r>
    <s v="E035"/>
    <s v="Óscar"/>
    <s v="Pinto"/>
    <x v="0"/>
    <d v="1982-07-05T00:00:00"/>
    <d v="2008-09-10T00:00:00"/>
    <x v="2"/>
    <s v="Inspector de Calidad"/>
    <x v="1"/>
    <n v="2800"/>
    <x v="2"/>
    <s v="Arequipa"/>
    <n v="17"/>
  </r>
  <r>
    <s v="E036"/>
    <s v="Melissa"/>
    <s v="Arias"/>
    <x v="1"/>
    <d v="1996-10-01T00:00:00"/>
    <d v="2021-10-04T00:00:00"/>
    <x v="5"/>
    <s v="Community Manager"/>
    <x v="0"/>
    <n v="2700"/>
    <x v="0"/>
    <s v="Lima"/>
    <n v="4"/>
  </r>
  <r>
    <s v="E037"/>
    <s v="Gonzalo"/>
    <s v="Vargas"/>
    <x v="0"/>
    <d v="1987-05-24T00:00:00"/>
    <d v="2014-01-15T00:00:00"/>
    <x v="3"/>
    <s v="DevOps Engineer"/>
    <x v="0"/>
    <n v="5100"/>
    <x v="1"/>
    <s v="Lima"/>
    <n v="12"/>
  </r>
  <r>
    <s v="E038"/>
    <s v="Tatiana"/>
    <s v="Cáceres"/>
    <x v="1"/>
    <d v="1993-02-16T00:00:00"/>
    <d v="2019-04-01T00:00:00"/>
    <x v="4"/>
    <s v="Analista de Riesgos"/>
    <x v="0"/>
    <n v="3800"/>
    <x v="0"/>
    <s v="Lima"/>
    <n v="7"/>
  </r>
  <r>
    <s v="E039"/>
    <s v="Enrique"/>
    <s v="Díaz"/>
    <x v="0"/>
    <d v="1979-08-03T00:00:00"/>
    <d v="2005-07-01T00:00:00"/>
    <x v="0"/>
    <s v="Director Comercial"/>
    <x v="2"/>
    <n v="11000"/>
    <x v="1"/>
    <s v="Lima"/>
    <n v="21"/>
  </r>
  <r>
    <s v="E040"/>
    <s v="Lucero"/>
    <s v="Pumayalli"/>
    <x v="1"/>
    <d v="1998-03-12T00:00:00"/>
    <d v="2023-04-17T00:00:00"/>
    <x v="1"/>
    <s v="Asistente de RRHH"/>
    <x v="1"/>
    <n v="1900"/>
    <x v="2"/>
    <s v="Lima"/>
    <n v="3"/>
  </r>
  <r>
    <s v="E041"/>
    <s v="Sebastián"/>
    <s v="Ortiz"/>
    <x v="0"/>
    <d v="1991-06-08T00:00:00"/>
    <d v="2017-11-20T00:00:00"/>
    <x v="2"/>
    <s v="Analista de Cadena de Suministro"/>
    <x v="0"/>
    <n v="3500"/>
    <x v="0"/>
    <s v="Lima"/>
    <n v="8"/>
  </r>
  <r>
    <s v="E042"/>
    <s v="Yolanda"/>
    <s v="Farfán"/>
    <x v="1"/>
    <d v="1985-01-19T00:00:00"/>
    <d v="2012-02-01T00:00:00"/>
    <x v="4"/>
    <s v="Contadora Senior"/>
    <x v="0"/>
    <n v="4400"/>
    <x v="0"/>
    <s v="Lima"/>
    <n v="14"/>
  </r>
  <r>
    <s v="E043"/>
    <s v="Cristian"/>
    <s v="Linares"/>
    <x v="0"/>
    <d v="1994-09-27T00:00:00"/>
    <d v="2020-06-01T00:00:00"/>
    <x v="3"/>
    <s v="Desarrollador Frontend"/>
    <x v="0"/>
    <n v="4000"/>
    <x v="0"/>
    <s v="Lima"/>
    <n v="6"/>
  </r>
  <r>
    <s v="E044"/>
    <s v="Brenda"/>
    <s v="Zárate"/>
    <x v="1"/>
    <d v="1989-04-14T00:00:00"/>
    <d v="2015-08-10T00:00:00"/>
    <x v="5"/>
    <s v="Analista de Mercado"/>
    <x v="0"/>
    <n v="3200"/>
    <x v="0"/>
    <s v="Trujillo"/>
    <n v="10"/>
  </r>
  <r>
    <s v="E045"/>
    <s v="Marcos"/>
    <s v="Cárdenas"/>
    <x v="0"/>
    <d v="1983-12-01T00:00:00"/>
    <d v="2009-10-15T00:00:00"/>
    <x v="2"/>
    <s v="Gerente de Logística"/>
    <x v="2"/>
    <n v="7200"/>
    <x v="1"/>
    <s v="Lima"/>
    <n v="16"/>
  </r>
  <r>
    <s v="E046"/>
    <s v="Fiorella"/>
    <s v="Lozano"/>
    <x v="1"/>
    <d v="1996-07-22T00:00:00"/>
    <d v="2021-12-01T00:00:00"/>
    <x v="0"/>
    <s v="Ejecutivo de Ventas"/>
    <x v="0"/>
    <n v="2900"/>
    <x v="0"/>
    <s v="Lima"/>
    <n v="4"/>
  </r>
  <r>
    <s v="E047"/>
    <s v="Diego"/>
    <s v="Salazar"/>
    <x v="0"/>
    <d v="1988-03-10T00:00:00"/>
    <d v="2014-05-20T00:00:00"/>
    <x v="3"/>
    <s v="Analista de Seguridad"/>
    <x v="0"/>
    <n v="4600"/>
    <x v="1"/>
    <s v="Lima"/>
    <n v="12"/>
  </r>
  <r>
    <s v="E048"/>
    <s v="Pamela"/>
    <s v="Reyes"/>
    <x v="1"/>
    <d v="1992-10-05T00:00:00"/>
    <d v="2018-09-03T00:00:00"/>
    <x v="1"/>
    <s v="Coordinadora de Bienestar"/>
    <x v="0"/>
    <n v="3000"/>
    <x v="0"/>
    <s v="Lima"/>
    <n v="7"/>
  </r>
  <r>
    <s v="E049"/>
    <s v="Alfredo"/>
    <s v="Cornejo"/>
    <x v="0"/>
    <d v="1981-05-28T00:00:00"/>
    <d v="2007-01-10T00:00:00"/>
    <x v="4"/>
    <s v="Controller"/>
    <x v="2"/>
    <n v="6800"/>
    <x v="1"/>
    <s v="Lima"/>
    <n v="19"/>
  </r>
  <r>
    <s v="E050"/>
    <s v="Stephanie"/>
    <s v="Villafuerte"/>
    <x v="1"/>
    <d v="1997-08-16T00:00:00"/>
    <d v="2022-10-24T00:00:00"/>
    <x v="5"/>
    <s v="Asistente de Marketing"/>
    <x v="1"/>
    <n v="2200"/>
    <x v="2"/>
    <s v="Lima"/>
    <n v="3"/>
  </r>
  <r>
    <s v="E051"/>
    <s v="Nicolás"/>
    <s v="Pariona"/>
    <x v="0"/>
    <d v="1986-11-03T00:00:00"/>
    <d v="2013-03-01T00:00:00"/>
    <x v="0"/>
    <s v="Ejecutivo Senior"/>
    <x v="0"/>
    <n v="3700"/>
    <x v="0"/>
    <s v="Lima"/>
    <n v="13"/>
  </r>
  <r>
    <s v="E052"/>
    <s v="Adriana"/>
    <s v="Meza"/>
    <x v="1"/>
    <d v="1991-06-21T00:00:00"/>
    <d v="2016-12-15T00:00:00"/>
    <x v="2"/>
    <s v="Analista de Procesos"/>
    <x v="0"/>
    <n v="3100"/>
    <x v="0"/>
    <s v="Cusco"/>
    <n v="9"/>
  </r>
  <r>
    <s v="E053"/>
    <s v="Rodrigo"/>
    <s v="Aliaga"/>
    <x v="0"/>
    <d v="1984-02-14T00:00:00"/>
    <d v="2010-06-01T00:00:00"/>
    <x v="3"/>
    <s v="Scrum Master"/>
    <x v="0"/>
    <n v="5300"/>
    <x v="1"/>
    <s v="Lima"/>
    <n v="16"/>
  </r>
  <r>
    <s v="E054"/>
    <s v="Lorena"/>
    <s v="Quispe"/>
    <x v="1"/>
    <d v="1993-09-08T00:00:00"/>
    <d v="2019-02-18T00:00:00"/>
    <x v="4"/>
    <s v="Analista Tributaria"/>
    <x v="0"/>
    <n v="3500"/>
    <x v="0"/>
    <s v="Lima"/>
    <n v="7"/>
  </r>
  <r>
    <s v="E055"/>
    <s v="Pablo"/>
    <s v="Huancahuari"/>
    <x v="0"/>
    <d v="1980-12-25T00:00:00"/>
    <d v="2006-08-01T00:00:00"/>
    <x v="1"/>
    <s v="Gerente de RRHH"/>
    <x v="2"/>
    <n v="9500"/>
    <x v="1"/>
    <s v="Lima"/>
    <n v="19"/>
  </r>
  <r>
    <s v="E056"/>
    <s v="Cecilia"/>
    <s v="Bendezú"/>
    <x v="1"/>
    <d v="1995-03-31T00:00:00"/>
    <d v="2021-01-11T00:00:00"/>
    <x v="0"/>
    <s v="Ejecutivo de Ventas"/>
    <x v="0"/>
    <n v="2900"/>
    <x v="2"/>
    <s v="Arequipa"/>
    <n v="5"/>
  </r>
  <r>
    <s v="E057"/>
    <s v="Marcelo"/>
    <s v="Turpo"/>
    <x v="0"/>
    <d v="1987-07-18T00:00:00"/>
    <d v="2014-10-01T00:00:00"/>
    <x v="2"/>
    <s v="Jefe de Almacén"/>
    <x v="1"/>
    <n v="3300"/>
    <x v="0"/>
    <s v="Arequipa"/>
    <n v="11"/>
  </r>
  <r>
    <s v="E058"/>
    <s v="Ingrid"/>
    <s v="Campos"/>
    <x v="1"/>
    <d v="1990-04-26T00:00:00"/>
    <d v="2017-04-24T00:00:00"/>
    <x v="3"/>
    <s v="Business Analyst"/>
    <x v="0"/>
    <n v="4100"/>
    <x v="0"/>
    <s v="Lima"/>
    <n v="9"/>
  </r>
  <r>
    <s v="E059"/>
    <s v="Arturo"/>
    <s v="Benavides"/>
    <x v="0"/>
    <d v="1982-09-13T00:00:00"/>
    <d v="2008-12-01T00:00:00"/>
    <x v="5"/>
    <s v="Director de Marketing"/>
    <x v="2"/>
    <n v="10500"/>
    <x v="1"/>
    <s v="Lima"/>
    <n v="17"/>
  </r>
  <r>
    <s v="E060"/>
    <s v="Rosa"/>
    <s v="Inca"/>
    <x v="1"/>
    <d v="1998-01-07T00:00:00"/>
    <d v="2023-07-03T00:00:00"/>
    <x v="4"/>
    <s v="Practicante"/>
    <x v="0"/>
    <n v="1200"/>
    <x v="2"/>
    <s v="Lima"/>
    <n v="3"/>
  </r>
  <r>
    <s v="E061"/>
    <s v="Augusto"/>
    <s v="Mendoza"/>
    <x v="0"/>
    <d v="1985-06-04T00:00:00"/>
    <d v="2012-09-01T00:00:00"/>
    <x v="0"/>
    <s v="Supervisor Regional"/>
    <x v="0"/>
    <n v="4900"/>
    <x v="0"/>
    <s v="Lima"/>
    <n v="13"/>
  </r>
  <r>
    <s v="E062"/>
    <s v="Milagros"/>
    <s v="Atauje"/>
    <x v="1"/>
    <d v="1994-11-20T00:00:00"/>
    <d v="2020-02-10T00:00:00"/>
    <x v="3"/>
    <s v="Data Engineer"/>
    <x v="0"/>
    <n v="5200"/>
    <x v="1"/>
    <s v="Lima"/>
    <n v="6"/>
  </r>
  <r>
    <s v="E063"/>
    <s v="Rubén"/>
    <s v="Coaquira"/>
    <x v="0"/>
    <d v="1979-03-09T00:00:00"/>
    <d v="2005-04-15T00:00:00"/>
    <x v="2"/>
    <s v="Director de Operaciones"/>
    <x v="2"/>
    <n v="12000"/>
    <x v="1"/>
    <s v="Lima"/>
    <n v="21"/>
  </r>
  <r>
    <s v="E064"/>
    <s v="Elizabeth"/>
    <s v="Pumacahua"/>
    <x v="1"/>
    <d v="1992-08-17T00:00:00"/>
    <d v="2018-06-01T00:00:00"/>
    <x v="1"/>
    <s v="Analista de Selección"/>
    <x v="0"/>
    <n v="2900"/>
    <x v="0"/>
    <s v="Lima"/>
    <n v="8"/>
  </r>
  <r>
    <s v="E065"/>
    <s v="Víctor"/>
    <s v="Soto"/>
    <x v="0"/>
    <d v="1988-01-23T00:00:00"/>
    <d v="2015-02-01T00:00:00"/>
    <x v="4"/>
    <s v="Analista Financiero"/>
    <x v="0"/>
    <n v="3400"/>
    <x v="0"/>
    <s v="Lima"/>
    <n v="11"/>
  </r>
  <r>
    <s v="E066"/>
    <s v="Mariana"/>
    <s v="Cuno"/>
    <x v="1"/>
    <d v="1996-05-11T00:00:00"/>
    <d v="2021-08-16T00:00:00"/>
    <x v="5"/>
    <s v="Diseñadora Gráfica"/>
    <x v="0"/>
    <n v="2800"/>
    <x v="0"/>
    <s v="Lima"/>
    <n v="4"/>
  </r>
  <r>
    <s v="E067"/>
    <s v="Franklin"/>
    <s v="Quispe"/>
    <x v="0"/>
    <d v="1983-10-29T00:00:00"/>
    <d v="2009-07-20T00:00:00"/>
    <x v="3"/>
    <s v="Gerente de Proyectos"/>
    <x v="2"/>
    <n v="8900"/>
    <x v="1"/>
    <s v="Lima"/>
    <n v="17"/>
  </r>
  <r>
    <s v="E068"/>
    <s v="Jacqueline"/>
    <s v="Huayta"/>
    <x v="1"/>
    <d v="1991-03-06T00:00:00"/>
    <d v="2016-11-01T00:00:00"/>
    <x v="0"/>
    <s v="Key Account Manager"/>
    <x v="0"/>
    <n v="4600"/>
    <x v="1"/>
    <s v="Lima"/>
    <n v="9"/>
  </r>
  <r>
    <s v="E069"/>
    <s v="Wilmer"/>
    <s v="Choquehuanca"/>
    <x v="0"/>
    <d v="1986-08-15T00:00:00"/>
    <d v="2013-05-01T00:00:00"/>
    <x v="2"/>
    <s v="Técnico de Procesos"/>
    <x v="3"/>
    <n v="2000"/>
    <x v="2"/>
    <s v="Puno"/>
    <n v="13"/>
  </r>
  <r>
    <s v="E070"/>
    <s v="Sandra"/>
    <s v="Palomino"/>
    <x v="1"/>
    <d v="1990-12-02T00:00:00"/>
    <d v="2017-09-11T00:00:00"/>
    <x v="4"/>
    <s v="Jefa de Contabilidad"/>
    <x v="0"/>
    <n v="5600"/>
    <x v="1"/>
    <s v="Lima"/>
    <n v="8"/>
  </r>
  <r>
    <s v="E071"/>
    <s v="Dante"/>
    <s v="Quispe"/>
    <x v="0"/>
    <d v="1984-04-18T00:00:00"/>
    <d v="2010-03-01T00:00:00"/>
    <x v="1"/>
    <s v="Especialista en Compensaciones"/>
    <x v="0"/>
    <n v="4200"/>
    <x v="0"/>
    <s v="Lima"/>
    <n v="16"/>
  </r>
  <r>
    <s v="E072"/>
    <s v="Xiomara"/>
    <s v="Tapia"/>
    <x v="1"/>
    <d v="1997-07-25T00:00:00"/>
    <d v="2022-03-07T00:00:00"/>
    <x v="5"/>
    <s v="Analista Digital"/>
    <x v="0"/>
    <n v="3000"/>
    <x v="0"/>
    <s v="Lima"/>
    <n v="4"/>
  </r>
  <r>
    <s v="E073"/>
    <s v="Walter"/>
    <s v="Llano"/>
    <x v="0"/>
    <d v="1981-11-12T00:00:00"/>
    <d v="2007-12-10T00:00:00"/>
    <x v="0"/>
    <s v="Gerente de Cuentas"/>
    <x v="2"/>
    <n v="7500"/>
    <x v="1"/>
    <s v="Lima"/>
    <n v="18"/>
  </r>
  <r>
    <s v="E074"/>
    <s v="Pierina"/>
    <s v="Ramos"/>
    <x v="1"/>
    <d v="1995-02-08T00:00:00"/>
    <d v="2021-05-03T00:00:00"/>
    <x v="3"/>
    <s v="Desarrolladora Móvil"/>
    <x v="0"/>
    <n v="4400"/>
    <x v="1"/>
    <s v="Lima"/>
    <n v="5"/>
  </r>
  <r>
    <s v="E075"/>
    <s v="Abraham"/>
    <s v="Ticlla"/>
    <x v="0"/>
    <d v="1980-06-26T00:00:00"/>
    <d v="2006-10-01T00:00:00"/>
    <x v="2"/>
    <s v="Gerente de Calidad"/>
    <x v="2"/>
    <n v="8100"/>
    <x v="1"/>
    <s v="Arequipa"/>
    <n v="19"/>
  </r>
  <r>
    <s v="E076"/>
    <s v="Wendy"/>
    <s v="Estrada"/>
    <x v="1"/>
    <d v="1993-01-13T00:00:00"/>
    <d v="2019-07-22T00:00:00"/>
    <x v="4"/>
    <s v="Analista de Costos"/>
    <x v="0"/>
    <n v="3300"/>
    <x v="0"/>
    <s v="Lima"/>
    <n v="7"/>
  </r>
  <r>
    <s v="E077"/>
    <s v="Edmundo"/>
    <s v="Puma"/>
    <x v="0"/>
    <d v="1987-09-01T00:00:00"/>
    <d v="2014-08-15T00:00:00"/>
    <x v="3"/>
    <s v="DBA"/>
    <x v="0"/>
    <n v="4800"/>
    <x v="0"/>
    <s v="Lima"/>
    <n v="11"/>
  </r>
  <r>
    <s v="E078"/>
    <s v="Rossana"/>
    <s v="Llantoy"/>
    <x v="1"/>
    <d v="1992-06-19T00:00:00"/>
    <d v="2018-01-08T00:00:00"/>
    <x v="1"/>
    <s v="Analista de Clima Laboral"/>
    <x v="0"/>
    <n v="3100"/>
    <x v="0"/>
    <s v="Lima"/>
    <n v="8"/>
  </r>
  <r>
    <s v="E079"/>
    <s v="Germán"/>
    <s v="Cueva"/>
    <x v="0"/>
    <d v="1985-04-07T00:00:00"/>
    <d v="2011-10-20T00:00:00"/>
    <x v="5"/>
    <s v="Gerente de Producto"/>
    <x v="2"/>
    <n v="8600"/>
    <x v="1"/>
    <s v="Lima"/>
    <n v="14"/>
  </r>
  <r>
    <s v="E080"/>
    <s v="Leonor"/>
    <s v="Quispe"/>
    <x v="1"/>
    <d v="1998-09-14T00:00:00"/>
    <d v="2023-10-02T00:00:00"/>
    <x v="0"/>
    <s v="Ejecutivo de Ventas"/>
    <x v="1"/>
    <n v="2400"/>
    <x v="2"/>
    <s v="Lima"/>
    <n v="2"/>
  </r>
  <r>
    <s v="E081"/>
    <s v="Saúl"/>
    <s v="Carbajal"/>
    <x v="0"/>
    <d v="1983-07-22T00:00:00"/>
    <d v="2009-02-01T00:00:00"/>
    <x v="2"/>
    <s v="Analista de Logística"/>
    <x v="0"/>
    <n v="3000"/>
    <x v="0"/>
    <s v="Lima"/>
    <n v="17"/>
  </r>
  <r>
    <s v="E082"/>
    <s v="Nadia"/>
    <s v="Mejía"/>
    <x v="1"/>
    <d v="1994-12-09T00:00:00"/>
    <d v="2020-09-14T00:00:00"/>
    <x v="3"/>
    <s v="Cloud Engineer"/>
    <x v="0"/>
    <n v="5500"/>
    <x v="1"/>
    <s v="Lima"/>
    <n v="5"/>
  </r>
  <r>
    <s v="E083"/>
    <s v="Helio"/>
    <s v="Arones"/>
    <x v="0"/>
    <d v="1979-05-17T00:00:00"/>
    <d v="2005-11-01T00:00:00"/>
    <x v="4"/>
    <s v="Director Financiero"/>
    <x v="2"/>
    <n v="14000"/>
    <x v="1"/>
    <s v="Lima"/>
    <n v="20"/>
  </r>
  <r>
    <s v="E084"/>
    <s v="Ivette"/>
    <s v="Palma"/>
    <x v="1"/>
    <d v="1991-10-24T00:00:00"/>
    <d v="2017-07-03T00:00:00"/>
    <x v="5"/>
    <s v="Especialista en SEO"/>
    <x v="0"/>
    <n v="3300"/>
    <x v="0"/>
    <s v="Lima"/>
    <n v="9"/>
  </r>
  <r>
    <s v="E085"/>
    <s v="Ulises"/>
    <s v="Turpo"/>
    <x v="0"/>
    <d v="1986-03-03T00:00:00"/>
    <d v="2012-12-10T00:00:00"/>
    <x v="0"/>
    <s v="Analista de Ventas"/>
    <x v="0"/>
    <n v="3100"/>
    <x v="0"/>
    <s v="Lima"/>
    <n v="13"/>
  </r>
  <r>
    <s v="E086"/>
    <s v="Shirley"/>
    <s v="Mango"/>
    <x v="1"/>
    <d v="1995-08-21T00:00:00"/>
    <d v="2021-04-19T00:00:00"/>
    <x v="1"/>
    <s v="Asistente Legal"/>
    <x v="0"/>
    <n v="2700"/>
    <x v="2"/>
    <s v="Lima"/>
    <n v="5"/>
  </r>
  <r>
    <s v="E087"/>
    <s v="Nicolás"/>
    <s v="Huanca"/>
    <x v="0"/>
    <d v="1984-01-08T00:00:00"/>
    <d v="2010-07-01T00:00:00"/>
    <x v="2"/>
    <s v="Supervisor de Producción"/>
    <x v="1"/>
    <n v="3600"/>
    <x v="0"/>
    <s v="Arequipa"/>
    <n v="16"/>
  </r>
  <r>
    <s v="E088"/>
    <s v="Giuliana"/>
    <s v="Cóndor"/>
    <x v="1"/>
    <d v="1990-05-15T00:00:00"/>
    <d v="2016-08-22T00:00:00"/>
    <x v="4"/>
    <s v="Analista de Presupuesto"/>
    <x v="0"/>
    <n v="3700"/>
    <x v="0"/>
    <s v="Lima"/>
    <n v="9"/>
  </r>
  <r>
    <s v="E089"/>
    <s v="Teodoro"/>
    <s v="Hancco"/>
    <x v="0"/>
    <d v="1982-10-02T00:00:00"/>
    <d v="2008-04-15T00:00:00"/>
    <x v="3"/>
    <s v="Arquitecto de Datos"/>
    <x v="2"/>
    <n v="9800"/>
    <x v="1"/>
    <s v="Lima"/>
    <n v="18"/>
  </r>
  <r>
    <s v="E090"/>
    <s v="Pilar"/>
    <s v="Anco"/>
    <x v="1"/>
    <d v="1997-03-19T00:00:00"/>
    <d v="2022-07-11T00:00:00"/>
    <x v="5"/>
    <s v="Creadora de Contenido"/>
    <x v="1"/>
    <n v="2500"/>
    <x v="0"/>
    <s v="Lima"/>
    <n v="4"/>
  </r>
  <r>
    <s v="E091"/>
    <s v="Rolando"/>
    <s v="Mamani"/>
    <x v="0"/>
    <d v="1988-12-27T00:00:00"/>
    <d v="2015-05-01T00:00:00"/>
    <x v="0"/>
    <s v="Ejecutivo Senior"/>
    <x v="0"/>
    <n v="3800"/>
    <x v="0"/>
    <s v="Lima"/>
    <n v="11"/>
  </r>
  <r>
    <s v="E092"/>
    <s v="Flor"/>
    <s v="Ccahuana"/>
    <x v="1"/>
    <d v="1993-07-04T00:00:00"/>
    <d v="2019-11-18T00:00:00"/>
    <x v="2"/>
    <s v="Analista de Inventarios"/>
    <x v="0"/>
    <n v="2900"/>
    <x v="2"/>
    <s v="Lima"/>
    <n v="6"/>
  </r>
  <r>
    <s v="E093"/>
    <s v="Bruno"/>
    <s v="Quispe"/>
    <x v="0"/>
    <d v="1987-04-11T00:00:00"/>
    <d v="2014-02-03T00:00:00"/>
    <x v="3"/>
    <s v="Líder Técnico"/>
    <x v="0"/>
    <n v="6200"/>
    <x v="1"/>
    <s v="Lima"/>
    <n v="12"/>
  </r>
  <r>
    <s v="E094"/>
    <s v="Cynthia"/>
    <s v="Vilca"/>
    <x v="1"/>
    <d v="1992-01-28T00:00:00"/>
    <d v="2018-03-05T00:00:00"/>
    <x v="1"/>
    <s v="Analista de RRHH"/>
    <x v="0"/>
    <n v="2800"/>
    <x v="0"/>
    <s v="Lima"/>
    <n v="8"/>
  </r>
  <r>
    <s v="E095"/>
    <s v="Augusto"/>
    <s v="Callata"/>
    <x v="0"/>
    <d v="1981-08-05T00:00:00"/>
    <d v="2007-06-20T00:00:00"/>
    <x v="4"/>
    <s v="Gerente de Auditoría"/>
    <x v="2"/>
    <n v="9100"/>
    <x v="1"/>
    <s v="Lima"/>
    <n v="19"/>
  </r>
  <r>
    <s v="E096"/>
    <s v="Alejandra"/>
    <s v="Quispe"/>
    <x v="1"/>
    <d v="1996-11-22T00:00:00"/>
    <d v="2021-09-27T00:00:00"/>
    <x v="5"/>
    <s v="Analista de Marca"/>
    <x v="0"/>
    <n v="3000"/>
    <x v="0"/>
    <s v="Lima"/>
    <n v="4"/>
  </r>
  <r>
    <s v="E097"/>
    <s v="Yerson"/>
    <s v="Huallpa"/>
    <x v="0"/>
    <d v="1985-05-30T00:00:00"/>
    <d v="2012-04-01T00:00:00"/>
    <x v="0"/>
    <s v="Jefe de Ventas"/>
    <x v="0"/>
    <n v="5800"/>
    <x v="1"/>
    <s v="Lima"/>
    <n v="14"/>
  </r>
  <r>
    <s v="E098"/>
    <s v="Katy"/>
    <s v="Suca"/>
    <x v="1"/>
    <d v="1994-02-17T00:00:00"/>
    <d v="2020-05-06T00:00:00"/>
    <x v="3"/>
    <s v="Analista de BI"/>
    <x v="0"/>
    <n v="4700"/>
    <x v="1"/>
    <s v="Lima"/>
    <n v="6"/>
  </r>
  <r>
    <s v="E099"/>
    <s v="Maximiliano"/>
    <s v="Quispe"/>
    <x v="0"/>
    <d v="1980-07-24T00:00:00"/>
    <d v="2006-01-09T00:00:00"/>
    <x v="2"/>
    <s v="Gerente de Planta"/>
    <x v="2"/>
    <n v="10200"/>
    <x v="1"/>
    <s v="Arequipa"/>
    <n v="20"/>
  </r>
  <r>
    <s v="E100"/>
    <s v="Delia"/>
    <s v="Tito"/>
    <x v="1"/>
    <d v="1999-04-01T00:00:00"/>
    <d v="2024-02-01T00:00:00"/>
    <x v="1"/>
    <s v="Practicante"/>
    <x v="1"/>
    <n v="1000"/>
    <x v="2"/>
    <s v="Lima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4F884-D2B5-494F-B6EE-1C3C57CE2D0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0" rowHeaderCaption="Departamento">
  <location ref="A1:D8" firstHeaderRow="0" firstDataRow="1" firstDataCol="1"/>
  <pivotFields count="13">
    <pivotField showAll="0"/>
    <pivotField showAll="0"/>
    <pivotField showAll="0"/>
    <pivotField showAll="0"/>
    <pivotField numFmtId="14" showAll="0"/>
    <pivotField numFmtId="14"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numFmtI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ario Promedio (S/)" fld="9" subtotal="average" baseField="6" baseItem="2" numFmtId="2"/>
    <dataField name="Salario Mínimo (S/)" fld="9" subtotal="min" baseField="6" baseItem="2" numFmtId="2"/>
    <dataField name="Salario Máximo (S/)" fld="9" subtotal="max" baseField="6" baseItem="2" numFmtId="2"/>
  </dataFields>
  <formats count="4">
    <format dxfId="17">
      <pivotArea collapsedLevelsAreSubtotals="1" fieldPosition="0">
        <references count="1">
          <reference field="6" count="1">
            <x v="0"/>
          </reference>
        </references>
      </pivotArea>
    </format>
    <format dxfId="16">
      <pivotArea outline="0" fieldPosition="0">
        <references count="1">
          <reference field="4294967294" count="1">
            <x v="1"/>
          </reference>
        </references>
      </pivotArea>
    </format>
    <format dxfId="15">
      <pivotArea outline="0" fieldPosition="0">
        <references count="1">
          <reference field="4294967294" count="1">
            <x v="2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16F78-9B91-44A9-B119-2EAF4B17A716}" name="TablaDinámica1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Departamento" colHeaderCaption="Género">
  <location ref="A1:D9" firstHeaderRow="1" firstDataRow="2" firstDataCol="1"/>
  <pivotFields count="13">
    <pivotField dataField="1" showAll="0"/>
    <pivotField showAll="0"/>
    <pivotField showAll="0"/>
    <pivotField axis="axisCol" showAll="0">
      <items count="3">
        <item n="Femenino" x="1"/>
        <item n="Masculino" x="0"/>
        <item t="default"/>
      </items>
    </pivotField>
    <pivotField numFmtId="14" showAll="0"/>
    <pivotField numFmtId="14"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Empleados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FF366-9E7C-4FFA-8915-0F60BC2B531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ivel Educativo">
  <location ref="A1:C6" firstHeaderRow="0" firstDataRow="1" firstDataCol="1"/>
  <pivotFields count="13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" showAll="0"/>
  </pivotFields>
  <rowFields count="1">
    <field x="8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alario Promedio (S/)" fld="9" subtotal="average" baseField="8" baseItem="0"/>
    <dataField name="N° Empleados" fld="0" subtotal="count" baseField="8" baseItem="0"/>
  </dataFields>
  <formats count="1">
    <format dxfId="1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D4A70-AEB7-4E65-87ED-13DA751C291F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partamento">
  <location ref="A1:C8" firstHeaderRow="0" firstDataRow="1" firstDataCol="1"/>
  <pivotFields count="13">
    <pivotField showAll="0"/>
    <pivotField showAll="0"/>
    <pivotField showAll="0"/>
    <pivotField showAll="0"/>
    <pivotField numFmtId="14" showAll="0"/>
    <pivotField numFmtId="14"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numFmtI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alario Promedio (S/)" fld="9" subtotal="average" baseField="6" baseItem="2"/>
    <dataField name="Antigüedad Promedio (años)" fld="12" subtotal="average" baseField="6" baseItem="2" numFmtId="1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F69BD-01A7-4AF7-93D1-FE6790CF919D}" name="TablaDinámica1" cacheId="0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rowHeaderCaption="Departamento" colHeaderCaption="Nivel de Desempeño">
  <location ref="A1:E9" firstHeaderRow="1" firstDataRow="2" firstDataCol="1"/>
  <pivotFields count="13">
    <pivotField dataField="1" showAll="0"/>
    <pivotField showAll="0"/>
    <pivotField showAll="0"/>
    <pivotField showAll="0"/>
    <pivotField numFmtId="14" showAll="0"/>
    <pivotField numFmtId="14"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Empleados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91DD65-7A94-4437-97D9-C3A5550EEC1B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empleado_id" tableColumnId="1"/>
      <queryTableField id="2" name="nombre" tableColumnId="2"/>
      <queryTableField id="3" name="apellido" tableColumnId="3"/>
      <queryTableField id="4" name="genero" tableColumnId="4"/>
      <queryTableField id="5" name="fecha_nacimiento" tableColumnId="5"/>
      <queryTableField id="6" name="fecha_ingreso" tableColumnId="6"/>
      <queryTableField id="7" name="departamento" tableColumnId="7"/>
      <queryTableField id="8" name="cargo" tableColumnId="8"/>
      <queryTableField id="9" name="nivel_educativo" tableColumnId="9"/>
      <queryTableField id="10" name="salario_mensual" tableColumnId="10"/>
      <queryTableField id="11" name="desempeno" tableColumnId="11"/>
      <queryTableField id="12" name="ciudad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92D38-080F-4ADE-B4AD-CA258C341A7B}" name="tbl_empleados" displayName="tbl_empleados" ref="A1:M101" tableType="queryTable" totalsRowShown="0">
  <autoFilter ref="A1:M101" xr:uid="{E1A92D38-080F-4ADE-B4AD-CA258C341A7B}"/>
  <tableColumns count="13">
    <tableColumn id="1" xr3:uid="{DE0535AC-DFDB-40A8-8E04-CD0A71310325}" uniqueName="1" name="empleado_id" queryTableFieldId="1" dataDxfId="13"/>
    <tableColumn id="2" xr3:uid="{999348B5-3A21-4A46-B2A5-D199CEFD15D0}" uniqueName="2" name="nombre" queryTableFieldId="2" dataDxfId="12"/>
    <tableColumn id="3" xr3:uid="{3D53010D-7488-461C-937C-ED57909E9127}" uniqueName="3" name="apellido" queryTableFieldId="3" dataDxfId="11"/>
    <tableColumn id="4" xr3:uid="{37B1DDFA-B497-4165-921A-C737B01BD68F}" uniqueName="4" name="genero" queryTableFieldId="4" dataDxfId="10"/>
    <tableColumn id="5" xr3:uid="{1F204E0D-6744-419A-9CAE-81A780BE640E}" uniqueName="5" name="fecha_nacimiento" queryTableFieldId="5" dataDxfId="9"/>
    <tableColumn id="6" xr3:uid="{7DAEEB31-D041-455E-8FE7-8D7A7E94EC3E}" uniqueName="6" name="fecha_ingreso" queryTableFieldId="6" dataDxfId="8"/>
    <tableColumn id="7" xr3:uid="{5EB6D069-3632-4EC9-AF52-4C00C2725D07}" uniqueName="7" name="departamento" queryTableFieldId="7" dataDxfId="7"/>
    <tableColumn id="8" xr3:uid="{A64387A2-7BCF-410C-AB75-0847554940CD}" uniqueName="8" name="cargo" queryTableFieldId="8" dataDxfId="6"/>
    <tableColumn id="9" xr3:uid="{99E562F7-EE35-4217-B5AF-9337C1431890}" uniqueName="9" name="nivel_educativo" queryTableFieldId="9" dataDxfId="5"/>
    <tableColumn id="10" xr3:uid="{DFE537A2-701A-45A2-B805-B07772351F5E}" uniqueName="10" name="salario_mensual" queryTableFieldId="10"/>
    <tableColumn id="11" xr3:uid="{333D80CC-4610-4696-868F-4C4D7622DB12}" uniqueName="11" name="desempeno" queryTableFieldId="11" dataDxfId="4"/>
    <tableColumn id="12" xr3:uid="{8B8AE038-2A87-446A-829B-AD006DA2306D}" uniqueName="12" name="ciudad" queryTableFieldId="12" dataDxfId="3"/>
    <tableColumn id="13" xr3:uid="{42F4CEAE-DA8C-47EC-8695-187E77A65A08}" uniqueName="13" name="anios_antiguedad" queryTableFieldId="13" dataDxfId="2">
      <calculatedColumnFormula>INT((TODAY()-tbl_empleados[[#This Row],[fecha_ingreso]])/365.25)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8173-66DD-4A72-AD83-585497EA0DFC}">
  <dimension ref="A1:P1"/>
  <sheetViews>
    <sheetView tabSelected="1" topLeftCell="A3" workbookViewId="0">
      <selection activeCell="A4" sqref="A4"/>
    </sheetView>
  </sheetViews>
  <sheetFormatPr baseColWidth="10" defaultRowHeight="14.4" x14ac:dyDescent="0.3"/>
  <sheetData>
    <row r="1" spans="1:16" ht="23.4" x14ac:dyDescent="0.45">
      <c r="A1" s="7" t="s">
        <v>424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</sheetData>
  <mergeCells count="1"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3498-97A0-4DE2-A239-31912D893531}">
  <dimension ref="A1:M101"/>
  <sheetViews>
    <sheetView workbookViewId="0">
      <selection activeCell="A2" sqref="A2"/>
    </sheetView>
  </sheetViews>
  <sheetFormatPr baseColWidth="10" defaultRowHeight="14.4" x14ac:dyDescent="0.3"/>
  <cols>
    <col min="1" max="1" width="14.109375" bestFit="1" customWidth="1"/>
    <col min="2" max="2" width="10.5546875" bestFit="1" customWidth="1"/>
    <col min="3" max="3" width="13.21875" bestFit="1" customWidth="1"/>
    <col min="4" max="4" width="8.77734375" bestFit="1" customWidth="1"/>
    <col min="5" max="5" width="18" bestFit="1" customWidth="1"/>
    <col min="6" max="6" width="14.5546875" bestFit="1" customWidth="1"/>
    <col min="7" max="7" width="16.77734375" bestFit="1" customWidth="1"/>
    <col min="8" max="8" width="27.88671875" bestFit="1" customWidth="1"/>
    <col min="9" max="9" width="16.21875" bestFit="1" customWidth="1"/>
    <col min="10" max="10" width="16.77734375" bestFit="1" customWidth="1"/>
    <col min="11" max="11" width="13" bestFit="1" customWidth="1"/>
    <col min="12" max="12" width="9" bestFit="1" customWidth="1"/>
    <col min="13" max="13" width="17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409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s="1">
        <v>31118</v>
      </c>
      <c r="F2" s="1">
        <v>42156</v>
      </c>
      <c r="G2" t="s">
        <v>16</v>
      </c>
      <c r="H2" t="s">
        <v>17</v>
      </c>
      <c r="I2" t="s">
        <v>18</v>
      </c>
      <c r="J2">
        <v>3200</v>
      </c>
      <c r="K2" t="s">
        <v>19</v>
      </c>
      <c r="L2" t="s">
        <v>20</v>
      </c>
      <c r="M2" s="5">
        <f ca="1">INT((TODAY()-tbl_empleados[[#This Row],[fecha_ingreso]])/365.25)</f>
        <v>11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s="1">
        <v>33078</v>
      </c>
      <c r="F3" s="1">
        <v>43146</v>
      </c>
      <c r="G3" t="s">
        <v>25</v>
      </c>
      <c r="H3" t="s">
        <v>26</v>
      </c>
      <c r="I3" t="s">
        <v>18</v>
      </c>
      <c r="J3">
        <v>2800</v>
      </c>
      <c r="K3" t="s">
        <v>27</v>
      </c>
      <c r="L3" t="s">
        <v>20</v>
      </c>
      <c r="M3" s="5">
        <f ca="1">INT((TODAY()-tbl_empleados[[#This Row],[fecha_ingreso]])/365.25)</f>
        <v>8</v>
      </c>
    </row>
    <row r="4" spans="1:13" x14ac:dyDescent="0.3">
      <c r="A4" t="s">
        <v>28</v>
      </c>
      <c r="B4" t="s">
        <v>29</v>
      </c>
      <c r="C4" t="s">
        <v>30</v>
      </c>
      <c r="D4" t="s">
        <v>15</v>
      </c>
      <c r="E4" s="1">
        <v>30260</v>
      </c>
      <c r="F4" s="1">
        <v>40422</v>
      </c>
      <c r="G4" t="s">
        <v>31</v>
      </c>
      <c r="H4" t="s">
        <v>32</v>
      </c>
      <c r="I4" t="s">
        <v>33</v>
      </c>
      <c r="J4">
        <v>2500</v>
      </c>
      <c r="K4" t="s">
        <v>34</v>
      </c>
      <c r="L4" t="s">
        <v>35</v>
      </c>
      <c r="M4" s="5">
        <f ca="1">INT((TODAY()-tbl_empleados[[#This Row],[fecha_ingreso]])/365.25)</f>
        <v>15</v>
      </c>
    </row>
    <row r="5" spans="1:13" x14ac:dyDescent="0.3">
      <c r="A5" t="s">
        <v>36</v>
      </c>
      <c r="B5" t="s">
        <v>37</v>
      </c>
      <c r="C5" t="s">
        <v>38</v>
      </c>
      <c r="D5" t="s">
        <v>24</v>
      </c>
      <c r="E5" s="1">
        <v>34729</v>
      </c>
      <c r="F5" s="1">
        <v>43900</v>
      </c>
      <c r="G5" t="s">
        <v>39</v>
      </c>
      <c r="H5" t="s">
        <v>40</v>
      </c>
      <c r="I5" t="s">
        <v>18</v>
      </c>
      <c r="J5">
        <v>4200</v>
      </c>
      <c r="K5" t="s">
        <v>27</v>
      </c>
      <c r="L5" t="s">
        <v>20</v>
      </c>
      <c r="M5" s="5">
        <f ca="1">INT((TODAY()-tbl_empleados[[#This Row],[fecha_ingreso]])/365.25)</f>
        <v>6</v>
      </c>
    </row>
    <row r="6" spans="1:13" x14ac:dyDescent="0.3">
      <c r="A6" t="s">
        <v>41</v>
      </c>
      <c r="B6" t="s">
        <v>42</v>
      </c>
      <c r="C6" t="s">
        <v>43</v>
      </c>
      <c r="D6" t="s">
        <v>15</v>
      </c>
      <c r="E6" s="1">
        <v>32312</v>
      </c>
      <c r="F6" s="1">
        <v>41598</v>
      </c>
      <c r="G6" t="s">
        <v>44</v>
      </c>
      <c r="H6" t="s">
        <v>45</v>
      </c>
      <c r="I6" t="s">
        <v>18</v>
      </c>
      <c r="J6">
        <v>3500</v>
      </c>
      <c r="K6" t="s">
        <v>19</v>
      </c>
      <c r="L6" t="s">
        <v>20</v>
      </c>
      <c r="M6" s="5">
        <f ca="1">INT((TODAY()-tbl_empleados[[#This Row],[fecha_ingreso]])/365.25)</f>
        <v>12</v>
      </c>
    </row>
    <row r="7" spans="1:13" x14ac:dyDescent="0.3">
      <c r="A7" t="s">
        <v>46</v>
      </c>
      <c r="B7" t="s">
        <v>47</v>
      </c>
      <c r="C7" t="s">
        <v>48</v>
      </c>
      <c r="D7" t="s">
        <v>24</v>
      </c>
      <c r="E7" s="1">
        <v>33861</v>
      </c>
      <c r="F7" s="1">
        <v>43590</v>
      </c>
      <c r="G7" t="s">
        <v>49</v>
      </c>
      <c r="H7" t="s">
        <v>50</v>
      </c>
      <c r="I7" t="s">
        <v>18</v>
      </c>
      <c r="J7">
        <v>3100</v>
      </c>
      <c r="K7" t="s">
        <v>19</v>
      </c>
      <c r="L7" t="s">
        <v>51</v>
      </c>
      <c r="M7" s="5">
        <f ca="1">INT((TODAY()-tbl_empleados[[#This Row],[fecha_ingreso]])/365.25)</f>
        <v>7</v>
      </c>
    </row>
    <row r="8" spans="1:13" x14ac:dyDescent="0.3">
      <c r="A8" t="s">
        <v>52</v>
      </c>
      <c r="B8" t="s">
        <v>53</v>
      </c>
      <c r="C8" t="s">
        <v>54</v>
      </c>
      <c r="D8" t="s">
        <v>15</v>
      </c>
      <c r="E8" s="1">
        <v>29333</v>
      </c>
      <c r="F8" s="1">
        <v>39462</v>
      </c>
      <c r="G8" t="s">
        <v>31</v>
      </c>
      <c r="H8" t="s">
        <v>55</v>
      </c>
      <c r="I8" t="s">
        <v>33</v>
      </c>
      <c r="J8">
        <v>4800</v>
      </c>
      <c r="K8" t="s">
        <v>19</v>
      </c>
      <c r="L8" t="s">
        <v>35</v>
      </c>
      <c r="M8" s="5">
        <f ca="1">INT((TODAY()-tbl_empleados[[#This Row],[fecha_ingreso]])/365.25)</f>
        <v>18</v>
      </c>
    </row>
    <row r="9" spans="1:13" x14ac:dyDescent="0.3">
      <c r="A9" t="s">
        <v>56</v>
      </c>
      <c r="B9" t="s">
        <v>57</v>
      </c>
      <c r="C9" t="s">
        <v>58</v>
      </c>
      <c r="D9" t="s">
        <v>24</v>
      </c>
      <c r="E9" s="1">
        <v>35767</v>
      </c>
      <c r="F9" s="1">
        <v>44774</v>
      </c>
      <c r="G9" t="s">
        <v>16</v>
      </c>
      <c r="H9" t="s">
        <v>17</v>
      </c>
      <c r="I9" t="s">
        <v>18</v>
      </c>
      <c r="J9">
        <v>2900</v>
      </c>
      <c r="K9" t="s">
        <v>34</v>
      </c>
      <c r="L9" t="s">
        <v>20</v>
      </c>
      <c r="M9" s="5">
        <f ca="1">INT((TODAY()-tbl_empleados[[#This Row],[fecha_ingreso]])/365.25)</f>
        <v>4</v>
      </c>
    </row>
    <row r="10" spans="1:13" x14ac:dyDescent="0.3">
      <c r="A10" t="s">
        <v>59</v>
      </c>
      <c r="B10" t="s">
        <v>60</v>
      </c>
      <c r="C10" t="s">
        <v>61</v>
      </c>
      <c r="D10" t="s">
        <v>15</v>
      </c>
      <c r="E10" s="1">
        <v>31633</v>
      </c>
      <c r="F10" s="1">
        <v>41749</v>
      </c>
      <c r="G10" t="s">
        <v>39</v>
      </c>
      <c r="H10" t="s">
        <v>62</v>
      </c>
      <c r="I10" t="s">
        <v>63</v>
      </c>
      <c r="J10">
        <v>6500</v>
      </c>
      <c r="K10" t="s">
        <v>27</v>
      </c>
      <c r="L10" t="s">
        <v>20</v>
      </c>
      <c r="M10" s="5">
        <f ca="1">INT((TODAY()-tbl_empleados[[#This Row],[fecha_ingreso]])/365.25)</f>
        <v>12</v>
      </c>
    </row>
    <row r="11" spans="1:13" x14ac:dyDescent="0.3">
      <c r="A11" t="s">
        <v>64</v>
      </c>
      <c r="B11" t="s">
        <v>65</v>
      </c>
      <c r="C11" t="s">
        <v>66</v>
      </c>
      <c r="D11" t="s">
        <v>24</v>
      </c>
      <c r="E11" s="1">
        <v>33296</v>
      </c>
      <c r="F11" s="1">
        <v>43018</v>
      </c>
      <c r="G11" t="s">
        <v>44</v>
      </c>
      <c r="H11" t="s">
        <v>67</v>
      </c>
      <c r="I11" t="s">
        <v>18</v>
      </c>
      <c r="J11">
        <v>3300</v>
      </c>
      <c r="K11" t="s">
        <v>19</v>
      </c>
      <c r="L11" t="s">
        <v>20</v>
      </c>
      <c r="M11" s="5">
        <f ca="1">INT((TODAY()-tbl_empleados[[#This Row],[fecha_ingreso]])/365.25)</f>
        <v>8</v>
      </c>
    </row>
    <row r="12" spans="1:13" x14ac:dyDescent="0.3">
      <c r="A12" t="s">
        <v>68</v>
      </c>
      <c r="B12" t="s">
        <v>69</v>
      </c>
      <c r="C12" t="s">
        <v>70</v>
      </c>
      <c r="D12" t="s">
        <v>15</v>
      </c>
      <c r="E12" s="1">
        <v>30818</v>
      </c>
      <c r="F12" s="1">
        <v>40725</v>
      </c>
      <c r="G12" t="s">
        <v>25</v>
      </c>
      <c r="H12" t="s">
        <v>71</v>
      </c>
      <c r="I12" t="s">
        <v>63</v>
      </c>
      <c r="J12">
        <v>5200</v>
      </c>
      <c r="K12" t="s">
        <v>27</v>
      </c>
      <c r="L12" t="s">
        <v>20</v>
      </c>
      <c r="M12" s="5">
        <f ca="1">INT((TODAY()-tbl_empleados[[#This Row],[fecha_ingreso]])/365.25)</f>
        <v>15</v>
      </c>
    </row>
    <row r="13" spans="1:13" x14ac:dyDescent="0.3">
      <c r="A13" t="s">
        <v>72</v>
      </c>
      <c r="B13" t="s">
        <v>73</v>
      </c>
      <c r="C13" t="s">
        <v>74</v>
      </c>
      <c r="D13" t="s">
        <v>24</v>
      </c>
      <c r="E13" s="1">
        <v>34250</v>
      </c>
      <c r="F13" s="1">
        <v>43437</v>
      </c>
      <c r="G13" t="s">
        <v>49</v>
      </c>
      <c r="H13" t="s">
        <v>75</v>
      </c>
      <c r="I13" t="s">
        <v>18</v>
      </c>
      <c r="J13">
        <v>3400</v>
      </c>
      <c r="K13" t="s">
        <v>19</v>
      </c>
      <c r="L13" t="s">
        <v>20</v>
      </c>
      <c r="M13" s="5">
        <f ca="1">INT((TODAY()-tbl_empleados[[#This Row],[fecha_ingreso]])/365.25)</f>
        <v>7</v>
      </c>
    </row>
    <row r="14" spans="1:13" x14ac:dyDescent="0.3">
      <c r="A14" t="s">
        <v>76</v>
      </c>
      <c r="B14" t="s">
        <v>77</v>
      </c>
      <c r="C14" t="s">
        <v>78</v>
      </c>
      <c r="D14" t="s">
        <v>15</v>
      </c>
      <c r="E14" s="1">
        <v>29067</v>
      </c>
      <c r="F14" s="1">
        <v>38790</v>
      </c>
      <c r="G14" t="s">
        <v>31</v>
      </c>
      <c r="H14" t="s">
        <v>79</v>
      </c>
      <c r="I14" t="s">
        <v>63</v>
      </c>
      <c r="J14">
        <v>7800</v>
      </c>
      <c r="K14" t="s">
        <v>27</v>
      </c>
      <c r="L14" t="s">
        <v>35</v>
      </c>
      <c r="M14" s="5">
        <f ca="1">INT((TODAY()-tbl_empleados[[#This Row],[fecha_ingreso]])/365.25)</f>
        <v>20</v>
      </c>
    </row>
    <row r="15" spans="1:13" x14ac:dyDescent="0.3">
      <c r="A15" t="s">
        <v>80</v>
      </c>
      <c r="B15" t="s">
        <v>81</v>
      </c>
      <c r="C15" t="s">
        <v>82</v>
      </c>
      <c r="D15" t="s">
        <v>24</v>
      </c>
      <c r="E15" s="1">
        <v>35174</v>
      </c>
      <c r="F15" s="1">
        <v>44354</v>
      </c>
      <c r="G15" t="s">
        <v>39</v>
      </c>
      <c r="H15" t="s">
        <v>83</v>
      </c>
      <c r="I15" t="s">
        <v>18</v>
      </c>
      <c r="J15">
        <v>3800</v>
      </c>
      <c r="K15" t="s">
        <v>19</v>
      </c>
      <c r="L15" t="s">
        <v>20</v>
      </c>
      <c r="M15" s="5">
        <f ca="1">INT((TODAY()-tbl_empleados[[#This Row],[fecha_ingreso]])/365.25)</f>
        <v>5</v>
      </c>
    </row>
    <row r="16" spans="1:13" x14ac:dyDescent="0.3">
      <c r="A16" t="s">
        <v>84</v>
      </c>
      <c r="B16" t="s">
        <v>85</v>
      </c>
      <c r="C16" t="s">
        <v>86</v>
      </c>
      <c r="D16" t="s">
        <v>15</v>
      </c>
      <c r="E16" s="1">
        <v>32533</v>
      </c>
      <c r="F16" s="1">
        <v>42614</v>
      </c>
      <c r="G16" t="s">
        <v>16</v>
      </c>
      <c r="H16" t="s">
        <v>87</v>
      </c>
      <c r="I16" t="s">
        <v>18</v>
      </c>
      <c r="J16">
        <v>4100</v>
      </c>
      <c r="K16" t="s">
        <v>19</v>
      </c>
      <c r="L16" t="s">
        <v>51</v>
      </c>
      <c r="M16" s="5">
        <f ca="1">INT((TODAY()-tbl_empleados[[#This Row],[fecha_ingreso]])/365.25)</f>
        <v>9</v>
      </c>
    </row>
    <row r="17" spans="1:13" x14ac:dyDescent="0.3">
      <c r="A17" t="s">
        <v>88</v>
      </c>
      <c r="B17" t="s">
        <v>89</v>
      </c>
      <c r="C17" t="s">
        <v>90</v>
      </c>
      <c r="D17" t="s">
        <v>24</v>
      </c>
      <c r="E17" s="1">
        <v>34557</v>
      </c>
      <c r="F17" s="1">
        <v>44150</v>
      </c>
      <c r="G17" t="s">
        <v>44</v>
      </c>
      <c r="H17" t="s">
        <v>91</v>
      </c>
      <c r="I17" t="s">
        <v>18</v>
      </c>
      <c r="J17">
        <v>3600</v>
      </c>
      <c r="K17" t="s">
        <v>27</v>
      </c>
      <c r="L17" t="s">
        <v>20</v>
      </c>
      <c r="M17" s="5">
        <f ca="1">INT((TODAY()-tbl_empleados[[#This Row],[fecha_ingreso]])/365.25)</f>
        <v>5</v>
      </c>
    </row>
    <row r="18" spans="1:13" x14ac:dyDescent="0.3">
      <c r="A18" t="s">
        <v>92</v>
      </c>
      <c r="B18" t="s">
        <v>93</v>
      </c>
      <c r="C18" t="s">
        <v>94</v>
      </c>
      <c r="D18" t="s">
        <v>15</v>
      </c>
      <c r="E18" s="1">
        <v>30382</v>
      </c>
      <c r="F18" s="1">
        <v>39953</v>
      </c>
      <c r="G18" t="s">
        <v>39</v>
      </c>
      <c r="H18" t="s">
        <v>95</v>
      </c>
      <c r="I18" t="s">
        <v>63</v>
      </c>
      <c r="J18">
        <v>8500</v>
      </c>
      <c r="K18" t="s">
        <v>27</v>
      </c>
      <c r="L18" t="s">
        <v>20</v>
      </c>
      <c r="M18" s="5">
        <f ca="1">INT((TODAY()-tbl_empleados[[#This Row],[fecha_ingreso]])/365.25)</f>
        <v>17</v>
      </c>
    </row>
    <row r="19" spans="1:13" x14ac:dyDescent="0.3">
      <c r="A19" t="s">
        <v>96</v>
      </c>
      <c r="B19" t="s">
        <v>97</v>
      </c>
      <c r="C19" t="s">
        <v>98</v>
      </c>
      <c r="D19" t="s">
        <v>24</v>
      </c>
      <c r="E19" s="1">
        <v>35975</v>
      </c>
      <c r="F19" s="1">
        <v>44936</v>
      </c>
      <c r="G19" t="s">
        <v>49</v>
      </c>
      <c r="H19" t="s">
        <v>99</v>
      </c>
      <c r="I19" t="s">
        <v>33</v>
      </c>
      <c r="J19">
        <v>2200</v>
      </c>
      <c r="K19" t="s">
        <v>34</v>
      </c>
      <c r="L19" t="s">
        <v>20</v>
      </c>
      <c r="M19" s="5">
        <f ca="1">INT((TODAY()-tbl_empleados[[#This Row],[fecha_ingreso]])/365.25)</f>
        <v>3</v>
      </c>
    </row>
    <row r="20" spans="1:13" x14ac:dyDescent="0.3">
      <c r="A20" t="s">
        <v>100</v>
      </c>
      <c r="B20" t="s">
        <v>101</v>
      </c>
      <c r="C20" t="s">
        <v>102</v>
      </c>
      <c r="D20" t="s">
        <v>15</v>
      </c>
      <c r="E20" s="1">
        <v>32095</v>
      </c>
      <c r="F20" s="1">
        <v>41487</v>
      </c>
      <c r="G20" t="s">
        <v>31</v>
      </c>
      <c r="H20" t="s">
        <v>103</v>
      </c>
      <c r="I20" t="s">
        <v>18</v>
      </c>
      <c r="J20">
        <v>3000</v>
      </c>
      <c r="K20" t="s">
        <v>19</v>
      </c>
      <c r="L20" t="s">
        <v>104</v>
      </c>
      <c r="M20" s="5">
        <f ca="1">INT((TODAY()-tbl_empleados[[#This Row],[fecha_ingreso]])/365.25)</f>
        <v>13</v>
      </c>
    </row>
    <row r="21" spans="1:13" x14ac:dyDescent="0.3">
      <c r="A21" t="s">
        <v>105</v>
      </c>
      <c r="B21" t="s">
        <v>106</v>
      </c>
      <c r="C21" t="s">
        <v>107</v>
      </c>
      <c r="D21" t="s">
        <v>24</v>
      </c>
      <c r="E21" s="1">
        <v>33118</v>
      </c>
      <c r="F21" s="1">
        <v>42794</v>
      </c>
      <c r="G21" t="s">
        <v>25</v>
      </c>
      <c r="H21" t="s">
        <v>26</v>
      </c>
      <c r="I21" t="s">
        <v>18</v>
      </c>
      <c r="J21">
        <v>2700</v>
      </c>
      <c r="K21" t="s">
        <v>34</v>
      </c>
      <c r="L21" t="s">
        <v>20</v>
      </c>
      <c r="M21" s="5">
        <f ca="1">INT((TODAY()-tbl_empleados[[#This Row],[fecha_ingreso]])/365.25)</f>
        <v>9</v>
      </c>
    </row>
    <row r="22" spans="1:13" x14ac:dyDescent="0.3">
      <c r="A22" t="s">
        <v>108</v>
      </c>
      <c r="B22" t="s">
        <v>109</v>
      </c>
      <c r="C22" t="s">
        <v>110</v>
      </c>
      <c r="D22" t="s">
        <v>15</v>
      </c>
      <c r="E22" s="1">
        <v>29940</v>
      </c>
      <c r="F22" s="1">
        <v>39370</v>
      </c>
      <c r="G22" t="s">
        <v>44</v>
      </c>
      <c r="H22" t="s">
        <v>111</v>
      </c>
      <c r="I22" t="s">
        <v>63</v>
      </c>
      <c r="J22">
        <v>9200</v>
      </c>
      <c r="K22" t="s">
        <v>27</v>
      </c>
      <c r="L22" t="s">
        <v>20</v>
      </c>
      <c r="M22" s="5">
        <f ca="1">INT((TODAY()-tbl_empleados[[#This Row],[fecha_ingreso]])/365.25)</f>
        <v>18</v>
      </c>
    </row>
    <row r="23" spans="1:13" x14ac:dyDescent="0.3">
      <c r="A23" t="s">
        <v>112</v>
      </c>
      <c r="B23" t="s">
        <v>113</v>
      </c>
      <c r="C23" t="s">
        <v>114</v>
      </c>
      <c r="D23" t="s">
        <v>24</v>
      </c>
      <c r="E23" s="1">
        <v>34836</v>
      </c>
      <c r="F23" s="1">
        <v>44277</v>
      </c>
      <c r="G23" t="s">
        <v>16</v>
      </c>
      <c r="H23" t="s">
        <v>17</v>
      </c>
      <c r="I23" t="s">
        <v>33</v>
      </c>
      <c r="J23">
        <v>2600</v>
      </c>
      <c r="K23" t="s">
        <v>34</v>
      </c>
      <c r="L23" t="s">
        <v>20</v>
      </c>
      <c r="M23" s="5">
        <f ca="1">INT((TODAY()-tbl_empleados[[#This Row],[fecha_ingreso]])/365.25)</f>
        <v>5</v>
      </c>
    </row>
    <row r="24" spans="1:13" x14ac:dyDescent="0.3">
      <c r="A24" t="s">
        <v>115</v>
      </c>
      <c r="B24" t="s">
        <v>116</v>
      </c>
      <c r="C24" t="s">
        <v>117</v>
      </c>
      <c r="D24" t="s">
        <v>15</v>
      </c>
      <c r="E24" s="1">
        <v>31451</v>
      </c>
      <c r="F24" s="1">
        <v>41061</v>
      </c>
      <c r="G24" t="s">
        <v>31</v>
      </c>
      <c r="H24" t="s">
        <v>118</v>
      </c>
      <c r="I24" t="s">
        <v>119</v>
      </c>
      <c r="J24">
        <v>1900</v>
      </c>
      <c r="K24" t="s">
        <v>34</v>
      </c>
      <c r="L24" t="s">
        <v>35</v>
      </c>
      <c r="M24" s="5">
        <f ca="1">INT((TODAY()-tbl_empleados[[#This Row],[fecha_ingreso]])/365.25)</f>
        <v>14</v>
      </c>
    </row>
    <row r="25" spans="1:13" x14ac:dyDescent="0.3">
      <c r="A25" t="s">
        <v>120</v>
      </c>
      <c r="B25" t="s">
        <v>121</v>
      </c>
      <c r="C25" t="s">
        <v>122</v>
      </c>
      <c r="D25" t="s">
        <v>24</v>
      </c>
      <c r="E25" s="1">
        <v>34176</v>
      </c>
      <c r="F25" s="1">
        <v>43718</v>
      </c>
      <c r="G25" t="s">
        <v>39</v>
      </c>
      <c r="H25" t="s">
        <v>123</v>
      </c>
      <c r="I25" t="s">
        <v>18</v>
      </c>
      <c r="J25">
        <v>4500</v>
      </c>
      <c r="K25" t="s">
        <v>27</v>
      </c>
      <c r="L25" t="s">
        <v>20</v>
      </c>
      <c r="M25" s="5">
        <f ca="1">INT((TODAY()-tbl_empleados[[#This Row],[fecha_ingreso]])/365.25)</f>
        <v>6</v>
      </c>
    </row>
    <row r="26" spans="1:13" x14ac:dyDescent="0.3">
      <c r="A26" t="s">
        <v>124</v>
      </c>
      <c r="B26" t="s">
        <v>125</v>
      </c>
      <c r="C26" t="s">
        <v>126</v>
      </c>
      <c r="D26" t="s">
        <v>15</v>
      </c>
      <c r="E26" s="1">
        <v>28776</v>
      </c>
      <c r="F26" s="1">
        <v>38372</v>
      </c>
      <c r="G26" t="s">
        <v>16</v>
      </c>
      <c r="H26" t="s">
        <v>127</v>
      </c>
      <c r="I26" t="s">
        <v>63</v>
      </c>
      <c r="J26">
        <v>8800</v>
      </c>
      <c r="K26" t="s">
        <v>27</v>
      </c>
      <c r="L26" t="s">
        <v>20</v>
      </c>
      <c r="M26" s="5">
        <f ca="1">INT((TODAY()-tbl_empleados[[#This Row],[fecha_ingreso]])/365.25)</f>
        <v>21</v>
      </c>
    </row>
    <row r="27" spans="1:13" x14ac:dyDescent="0.3">
      <c r="A27" t="s">
        <v>128</v>
      </c>
      <c r="B27" t="s">
        <v>129</v>
      </c>
      <c r="C27" t="s">
        <v>130</v>
      </c>
      <c r="D27" t="s">
        <v>24</v>
      </c>
      <c r="E27" s="1">
        <v>33667</v>
      </c>
      <c r="F27" s="1">
        <v>43282</v>
      </c>
      <c r="G27" t="s">
        <v>25</v>
      </c>
      <c r="H27" t="s">
        <v>131</v>
      </c>
      <c r="I27" t="s">
        <v>18</v>
      </c>
      <c r="J27">
        <v>3100</v>
      </c>
      <c r="K27" t="s">
        <v>19</v>
      </c>
      <c r="L27" t="s">
        <v>20</v>
      </c>
      <c r="M27" s="5">
        <f ca="1">INT((TODAY()-tbl_empleados[[#This Row],[fecha_ingreso]])/365.25)</f>
        <v>8</v>
      </c>
    </row>
    <row r="28" spans="1:13" x14ac:dyDescent="0.3">
      <c r="A28" t="s">
        <v>132</v>
      </c>
      <c r="B28" t="s">
        <v>133</v>
      </c>
      <c r="C28" t="s">
        <v>14</v>
      </c>
      <c r="D28" t="s">
        <v>15</v>
      </c>
      <c r="E28" s="1">
        <v>32376</v>
      </c>
      <c r="F28" s="1">
        <v>42339</v>
      </c>
      <c r="G28" t="s">
        <v>39</v>
      </c>
      <c r="H28" t="s">
        <v>134</v>
      </c>
      <c r="I28" t="s">
        <v>18</v>
      </c>
      <c r="J28">
        <v>4300</v>
      </c>
      <c r="K28" t="s">
        <v>19</v>
      </c>
      <c r="L28" t="s">
        <v>20</v>
      </c>
      <c r="M28" s="5">
        <f ca="1">INT((TODAY()-tbl_empleados[[#This Row],[fecha_ingreso]])/365.25)</f>
        <v>10</v>
      </c>
    </row>
    <row r="29" spans="1:13" x14ac:dyDescent="0.3">
      <c r="A29" t="s">
        <v>135</v>
      </c>
      <c r="B29" t="s">
        <v>136</v>
      </c>
      <c r="C29" t="s">
        <v>137</v>
      </c>
      <c r="D29" t="s">
        <v>24</v>
      </c>
      <c r="E29" s="1">
        <v>35445</v>
      </c>
      <c r="F29" s="1">
        <v>44697</v>
      </c>
      <c r="G29" t="s">
        <v>44</v>
      </c>
      <c r="H29" t="s">
        <v>138</v>
      </c>
      <c r="I29" t="s">
        <v>33</v>
      </c>
      <c r="J29">
        <v>2100</v>
      </c>
      <c r="K29" t="s">
        <v>34</v>
      </c>
      <c r="L29" t="s">
        <v>20</v>
      </c>
      <c r="M29" s="5">
        <f ca="1">INT((TODAY()-tbl_empleados[[#This Row],[fecha_ingreso]])/365.25)</f>
        <v>4</v>
      </c>
    </row>
    <row r="30" spans="1:13" x14ac:dyDescent="0.3">
      <c r="A30" t="s">
        <v>139</v>
      </c>
      <c r="B30" t="s">
        <v>140</v>
      </c>
      <c r="C30" t="s">
        <v>141</v>
      </c>
      <c r="D30" t="s">
        <v>15</v>
      </c>
      <c r="E30" s="1">
        <v>30863</v>
      </c>
      <c r="F30" s="1">
        <v>40483</v>
      </c>
      <c r="G30" t="s">
        <v>49</v>
      </c>
      <c r="H30" t="s">
        <v>142</v>
      </c>
      <c r="I30" t="s">
        <v>63</v>
      </c>
      <c r="J30">
        <v>8200</v>
      </c>
      <c r="K30" t="s">
        <v>27</v>
      </c>
      <c r="L30" t="s">
        <v>20</v>
      </c>
      <c r="M30" s="5">
        <f ca="1">INT((TODAY()-tbl_empleados[[#This Row],[fecha_ingreso]])/365.25)</f>
        <v>15</v>
      </c>
    </row>
    <row r="31" spans="1:13" x14ac:dyDescent="0.3">
      <c r="A31" t="s">
        <v>143</v>
      </c>
      <c r="B31" t="s">
        <v>144</v>
      </c>
      <c r="C31" t="s">
        <v>145</v>
      </c>
      <c r="D31" t="s">
        <v>24</v>
      </c>
      <c r="E31" s="1">
        <v>33551</v>
      </c>
      <c r="F31" s="1">
        <v>42465</v>
      </c>
      <c r="G31" t="s">
        <v>31</v>
      </c>
      <c r="H31" t="s">
        <v>146</v>
      </c>
      <c r="I31" t="s">
        <v>18</v>
      </c>
      <c r="J31">
        <v>3200</v>
      </c>
      <c r="K31" t="s">
        <v>19</v>
      </c>
      <c r="L31" t="s">
        <v>51</v>
      </c>
      <c r="M31" s="5">
        <f ca="1">INT((TODAY()-tbl_empleados[[#This Row],[fecha_ingreso]])/365.25)</f>
        <v>10</v>
      </c>
    </row>
    <row r="32" spans="1:13" x14ac:dyDescent="0.3">
      <c r="A32" t="s">
        <v>147</v>
      </c>
      <c r="B32" t="s">
        <v>148</v>
      </c>
      <c r="C32" t="s">
        <v>149</v>
      </c>
      <c r="D32" t="s">
        <v>15</v>
      </c>
      <c r="E32" s="1">
        <v>29481</v>
      </c>
      <c r="F32" s="1">
        <v>39314</v>
      </c>
      <c r="G32" t="s">
        <v>44</v>
      </c>
      <c r="H32" t="s">
        <v>150</v>
      </c>
      <c r="I32" t="s">
        <v>18</v>
      </c>
      <c r="J32">
        <v>4700</v>
      </c>
      <c r="K32" t="s">
        <v>19</v>
      </c>
      <c r="L32" t="s">
        <v>20</v>
      </c>
      <c r="M32" s="5">
        <f ca="1">INT((TODAY()-tbl_empleados[[#This Row],[fecha_ingreso]])/365.25)</f>
        <v>18</v>
      </c>
    </row>
    <row r="33" spans="1:13" x14ac:dyDescent="0.3">
      <c r="A33" t="s">
        <v>151</v>
      </c>
      <c r="B33" t="s">
        <v>152</v>
      </c>
      <c r="C33" t="s">
        <v>153</v>
      </c>
      <c r="D33" t="s">
        <v>24</v>
      </c>
      <c r="E33" s="1">
        <v>34447</v>
      </c>
      <c r="F33" s="1">
        <v>44024</v>
      </c>
      <c r="G33" t="s">
        <v>16</v>
      </c>
      <c r="H33" t="s">
        <v>154</v>
      </c>
      <c r="I33" t="s">
        <v>18</v>
      </c>
      <c r="J33">
        <v>3300</v>
      </c>
      <c r="K33" t="s">
        <v>19</v>
      </c>
      <c r="L33" t="s">
        <v>20</v>
      </c>
      <c r="M33" s="5">
        <f ca="1">INT((TODAY()-tbl_empleados[[#This Row],[fecha_ingreso]])/365.25)</f>
        <v>6</v>
      </c>
    </row>
    <row r="34" spans="1:13" x14ac:dyDescent="0.3">
      <c r="A34" t="s">
        <v>155</v>
      </c>
      <c r="B34" t="s">
        <v>156</v>
      </c>
      <c r="C34" t="s">
        <v>157</v>
      </c>
      <c r="D34" t="s">
        <v>15</v>
      </c>
      <c r="E34" s="1">
        <v>31089</v>
      </c>
      <c r="F34" s="1">
        <v>40603</v>
      </c>
      <c r="G34" t="s">
        <v>25</v>
      </c>
      <c r="H34" t="s">
        <v>158</v>
      </c>
      <c r="I34" t="s">
        <v>18</v>
      </c>
      <c r="J34">
        <v>3400</v>
      </c>
      <c r="K34" t="s">
        <v>19</v>
      </c>
      <c r="L34" t="s">
        <v>20</v>
      </c>
      <c r="M34" s="5">
        <f ca="1">INT((TODAY()-tbl_empleados[[#This Row],[fecha_ingreso]])/365.25)</f>
        <v>15</v>
      </c>
    </row>
    <row r="35" spans="1:13" x14ac:dyDescent="0.3">
      <c r="A35" t="s">
        <v>159</v>
      </c>
      <c r="B35" t="s">
        <v>160</v>
      </c>
      <c r="C35" t="s">
        <v>161</v>
      </c>
      <c r="D35" t="s">
        <v>24</v>
      </c>
      <c r="E35" s="1">
        <v>33235</v>
      </c>
      <c r="F35" s="1">
        <v>42906</v>
      </c>
      <c r="G35" t="s">
        <v>39</v>
      </c>
      <c r="H35" t="s">
        <v>162</v>
      </c>
      <c r="I35" t="s">
        <v>18</v>
      </c>
      <c r="J35">
        <v>4000</v>
      </c>
      <c r="K35" t="s">
        <v>27</v>
      </c>
      <c r="L35" t="s">
        <v>20</v>
      </c>
      <c r="M35" s="5">
        <f ca="1">INT((TODAY()-tbl_empleados[[#This Row],[fecha_ingreso]])/365.25)</f>
        <v>9</v>
      </c>
    </row>
    <row r="36" spans="1:13" x14ac:dyDescent="0.3">
      <c r="A36" t="s">
        <v>163</v>
      </c>
      <c r="B36" t="s">
        <v>164</v>
      </c>
      <c r="C36" t="s">
        <v>165</v>
      </c>
      <c r="D36" t="s">
        <v>15</v>
      </c>
      <c r="E36" s="1">
        <v>30137</v>
      </c>
      <c r="F36" s="1">
        <v>39701</v>
      </c>
      <c r="G36" t="s">
        <v>31</v>
      </c>
      <c r="H36" t="s">
        <v>166</v>
      </c>
      <c r="I36" t="s">
        <v>33</v>
      </c>
      <c r="J36">
        <v>2800</v>
      </c>
      <c r="K36" t="s">
        <v>34</v>
      </c>
      <c r="L36" t="s">
        <v>35</v>
      </c>
      <c r="M36" s="5">
        <f ca="1">INT((TODAY()-tbl_empleados[[#This Row],[fecha_ingreso]])/365.25)</f>
        <v>17</v>
      </c>
    </row>
    <row r="37" spans="1:13" x14ac:dyDescent="0.3">
      <c r="A37" t="s">
        <v>167</v>
      </c>
      <c r="B37" t="s">
        <v>168</v>
      </c>
      <c r="C37" t="s">
        <v>169</v>
      </c>
      <c r="D37" t="s">
        <v>24</v>
      </c>
      <c r="E37" s="1">
        <v>35339</v>
      </c>
      <c r="F37" s="1">
        <v>44473</v>
      </c>
      <c r="G37" t="s">
        <v>49</v>
      </c>
      <c r="H37" t="s">
        <v>170</v>
      </c>
      <c r="I37" t="s">
        <v>18</v>
      </c>
      <c r="J37">
        <v>2700</v>
      </c>
      <c r="K37" t="s">
        <v>19</v>
      </c>
      <c r="L37" t="s">
        <v>20</v>
      </c>
      <c r="M37" s="5">
        <f ca="1">INT((TODAY()-tbl_empleados[[#This Row],[fecha_ingreso]])/365.25)</f>
        <v>4</v>
      </c>
    </row>
    <row r="38" spans="1:13" x14ac:dyDescent="0.3">
      <c r="A38" t="s">
        <v>171</v>
      </c>
      <c r="B38" t="s">
        <v>172</v>
      </c>
      <c r="C38" t="s">
        <v>173</v>
      </c>
      <c r="D38" t="s">
        <v>15</v>
      </c>
      <c r="E38" s="1">
        <v>31921</v>
      </c>
      <c r="F38" s="1">
        <v>41654</v>
      </c>
      <c r="G38" t="s">
        <v>39</v>
      </c>
      <c r="H38" t="s">
        <v>174</v>
      </c>
      <c r="I38" t="s">
        <v>18</v>
      </c>
      <c r="J38">
        <v>5100</v>
      </c>
      <c r="K38" t="s">
        <v>27</v>
      </c>
      <c r="L38" t="s">
        <v>20</v>
      </c>
      <c r="M38" s="5">
        <f ca="1">INT((TODAY()-tbl_empleados[[#This Row],[fecha_ingreso]])/365.25)</f>
        <v>12</v>
      </c>
    </row>
    <row r="39" spans="1:13" x14ac:dyDescent="0.3">
      <c r="A39" t="s">
        <v>175</v>
      </c>
      <c r="B39" t="s">
        <v>176</v>
      </c>
      <c r="C39" t="s">
        <v>177</v>
      </c>
      <c r="D39" t="s">
        <v>24</v>
      </c>
      <c r="E39" s="1">
        <v>34016</v>
      </c>
      <c r="F39" s="1">
        <v>43556</v>
      </c>
      <c r="G39" t="s">
        <v>44</v>
      </c>
      <c r="H39" t="s">
        <v>178</v>
      </c>
      <c r="I39" t="s">
        <v>18</v>
      </c>
      <c r="J39">
        <v>3800</v>
      </c>
      <c r="K39" t="s">
        <v>19</v>
      </c>
      <c r="L39" t="s">
        <v>20</v>
      </c>
      <c r="M39" s="5">
        <f ca="1">INT((TODAY()-tbl_empleados[[#This Row],[fecha_ingreso]])/365.25)</f>
        <v>7</v>
      </c>
    </row>
    <row r="40" spans="1:13" x14ac:dyDescent="0.3">
      <c r="A40" t="s">
        <v>179</v>
      </c>
      <c r="B40" t="s">
        <v>180</v>
      </c>
      <c r="C40" t="s">
        <v>181</v>
      </c>
      <c r="D40" t="s">
        <v>15</v>
      </c>
      <c r="E40" s="1">
        <v>29070</v>
      </c>
      <c r="F40" s="1">
        <v>38534</v>
      </c>
      <c r="G40" t="s">
        <v>16</v>
      </c>
      <c r="H40" t="s">
        <v>182</v>
      </c>
      <c r="I40" t="s">
        <v>63</v>
      </c>
      <c r="J40">
        <v>11000</v>
      </c>
      <c r="K40" t="s">
        <v>27</v>
      </c>
      <c r="L40" t="s">
        <v>20</v>
      </c>
      <c r="M40" s="5">
        <f ca="1">INT((TODAY()-tbl_empleados[[#This Row],[fecha_ingreso]])/365.25)</f>
        <v>21</v>
      </c>
    </row>
    <row r="41" spans="1:13" x14ac:dyDescent="0.3">
      <c r="A41" t="s">
        <v>183</v>
      </c>
      <c r="B41" t="s">
        <v>184</v>
      </c>
      <c r="C41" t="s">
        <v>185</v>
      </c>
      <c r="D41" t="s">
        <v>24</v>
      </c>
      <c r="E41" s="1">
        <v>35866</v>
      </c>
      <c r="F41" s="1">
        <v>45033</v>
      </c>
      <c r="G41" t="s">
        <v>25</v>
      </c>
      <c r="H41" t="s">
        <v>186</v>
      </c>
      <c r="I41" t="s">
        <v>33</v>
      </c>
      <c r="J41">
        <v>1900</v>
      </c>
      <c r="K41" t="s">
        <v>34</v>
      </c>
      <c r="L41" t="s">
        <v>20</v>
      </c>
      <c r="M41" s="5">
        <f ca="1">INT((TODAY()-tbl_empleados[[#This Row],[fecha_ingreso]])/365.25)</f>
        <v>3</v>
      </c>
    </row>
    <row r="42" spans="1:13" x14ac:dyDescent="0.3">
      <c r="A42" t="s">
        <v>187</v>
      </c>
      <c r="B42" t="s">
        <v>188</v>
      </c>
      <c r="C42" t="s">
        <v>189</v>
      </c>
      <c r="D42" t="s">
        <v>15</v>
      </c>
      <c r="E42" s="1">
        <v>33397</v>
      </c>
      <c r="F42" s="1">
        <v>43059</v>
      </c>
      <c r="G42" t="s">
        <v>31</v>
      </c>
      <c r="H42" t="s">
        <v>190</v>
      </c>
      <c r="I42" t="s">
        <v>18</v>
      </c>
      <c r="J42">
        <v>3500</v>
      </c>
      <c r="K42" t="s">
        <v>19</v>
      </c>
      <c r="L42" t="s">
        <v>20</v>
      </c>
      <c r="M42" s="5">
        <f ca="1">INT((TODAY()-tbl_empleados[[#This Row],[fecha_ingreso]])/365.25)</f>
        <v>8</v>
      </c>
    </row>
    <row r="43" spans="1:13" x14ac:dyDescent="0.3">
      <c r="A43" t="s">
        <v>191</v>
      </c>
      <c r="B43" t="s">
        <v>192</v>
      </c>
      <c r="C43" t="s">
        <v>193</v>
      </c>
      <c r="D43" t="s">
        <v>24</v>
      </c>
      <c r="E43" s="1">
        <v>31066</v>
      </c>
      <c r="F43" s="1">
        <v>40940</v>
      </c>
      <c r="G43" t="s">
        <v>44</v>
      </c>
      <c r="H43" t="s">
        <v>194</v>
      </c>
      <c r="I43" t="s">
        <v>18</v>
      </c>
      <c r="J43">
        <v>4400</v>
      </c>
      <c r="K43" t="s">
        <v>19</v>
      </c>
      <c r="L43" t="s">
        <v>20</v>
      </c>
      <c r="M43" s="5">
        <f ca="1">INT((TODAY()-tbl_empleados[[#This Row],[fecha_ingreso]])/365.25)</f>
        <v>14</v>
      </c>
    </row>
    <row r="44" spans="1:13" x14ac:dyDescent="0.3">
      <c r="A44" t="s">
        <v>195</v>
      </c>
      <c r="B44" t="s">
        <v>196</v>
      </c>
      <c r="C44" t="s">
        <v>197</v>
      </c>
      <c r="D44" t="s">
        <v>15</v>
      </c>
      <c r="E44" s="1">
        <v>34604</v>
      </c>
      <c r="F44" s="1">
        <v>43983</v>
      </c>
      <c r="G44" t="s">
        <v>39</v>
      </c>
      <c r="H44" t="s">
        <v>198</v>
      </c>
      <c r="I44" t="s">
        <v>18</v>
      </c>
      <c r="J44">
        <v>4000</v>
      </c>
      <c r="K44" t="s">
        <v>19</v>
      </c>
      <c r="L44" t="s">
        <v>20</v>
      </c>
      <c r="M44" s="5">
        <f ca="1">INT((TODAY()-tbl_empleados[[#This Row],[fecha_ingreso]])/365.25)</f>
        <v>6</v>
      </c>
    </row>
    <row r="45" spans="1:13" x14ac:dyDescent="0.3">
      <c r="A45" t="s">
        <v>199</v>
      </c>
      <c r="B45" t="s">
        <v>200</v>
      </c>
      <c r="C45" t="s">
        <v>201</v>
      </c>
      <c r="D45" t="s">
        <v>24</v>
      </c>
      <c r="E45" s="1">
        <v>32612</v>
      </c>
      <c r="F45" s="1">
        <v>42226</v>
      </c>
      <c r="G45" t="s">
        <v>49</v>
      </c>
      <c r="H45" t="s">
        <v>202</v>
      </c>
      <c r="I45" t="s">
        <v>18</v>
      </c>
      <c r="J45">
        <v>3200</v>
      </c>
      <c r="K45" t="s">
        <v>19</v>
      </c>
      <c r="L45" t="s">
        <v>51</v>
      </c>
      <c r="M45" s="5">
        <f ca="1">INT((TODAY()-tbl_empleados[[#This Row],[fecha_ingreso]])/365.25)</f>
        <v>10</v>
      </c>
    </row>
    <row r="46" spans="1:13" x14ac:dyDescent="0.3">
      <c r="A46" t="s">
        <v>203</v>
      </c>
      <c r="B46" t="s">
        <v>204</v>
      </c>
      <c r="C46" t="s">
        <v>205</v>
      </c>
      <c r="D46" t="s">
        <v>15</v>
      </c>
      <c r="E46" s="1">
        <v>30651</v>
      </c>
      <c r="F46" s="1">
        <v>40101</v>
      </c>
      <c r="G46" t="s">
        <v>31</v>
      </c>
      <c r="H46" t="s">
        <v>206</v>
      </c>
      <c r="I46" t="s">
        <v>63</v>
      </c>
      <c r="J46">
        <v>7200</v>
      </c>
      <c r="K46" t="s">
        <v>27</v>
      </c>
      <c r="L46" t="s">
        <v>20</v>
      </c>
      <c r="M46" s="5">
        <f ca="1">INT((TODAY()-tbl_empleados[[#This Row],[fecha_ingreso]])/365.25)</f>
        <v>16</v>
      </c>
    </row>
    <row r="47" spans="1:13" x14ac:dyDescent="0.3">
      <c r="A47" t="s">
        <v>207</v>
      </c>
      <c r="B47" t="s">
        <v>208</v>
      </c>
      <c r="C47" t="s">
        <v>209</v>
      </c>
      <c r="D47" t="s">
        <v>24</v>
      </c>
      <c r="E47" s="1">
        <v>35268</v>
      </c>
      <c r="F47" s="1">
        <v>44531</v>
      </c>
      <c r="G47" t="s">
        <v>16</v>
      </c>
      <c r="H47" t="s">
        <v>17</v>
      </c>
      <c r="I47" t="s">
        <v>18</v>
      </c>
      <c r="J47">
        <v>2900</v>
      </c>
      <c r="K47" t="s">
        <v>19</v>
      </c>
      <c r="L47" t="s">
        <v>20</v>
      </c>
      <c r="M47" s="5">
        <f ca="1">INT((TODAY()-tbl_empleados[[#This Row],[fecha_ingreso]])/365.25)</f>
        <v>4</v>
      </c>
    </row>
    <row r="48" spans="1:13" x14ac:dyDescent="0.3">
      <c r="A48" t="s">
        <v>210</v>
      </c>
      <c r="B48" t="s">
        <v>211</v>
      </c>
      <c r="C48" t="s">
        <v>212</v>
      </c>
      <c r="D48" t="s">
        <v>15</v>
      </c>
      <c r="E48" s="1">
        <v>32212</v>
      </c>
      <c r="F48" s="1">
        <v>41779</v>
      </c>
      <c r="G48" t="s">
        <v>39</v>
      </c>
      <c r="H48" t="s">
        <v>213</v>
      </c>
      <c r="I48" t="s">
        <v>18</v>
      </c>
      <c r="J48">
        <v>4600</v>
      </c>
      <c r="K48" t="s">
        <v>27</v>
      </c>
      <c r="L48" t="s">
        <v>20</v>
      </c>
      <c r="M48" s="5">
        <f ca="1">INT((TODAY()-tbl_empleados[[#This Row],[fecha_ingreso]])/365.25)</f>
        <v>12</v>
      </c>
    </row>
    <row r="49" spans="1:13" x14ac:dyDescent="0.3">
      <c r="A49" t="s">
        <v>214</v>
      </c>
      <c r="B49" t="s">
        <v>215</v>
      </c>
      <c r="C49" t="s">
        <v>216</v>
      </c>
      <c r="D49" t="s">
        <v>24</v>
      </c>
      <c r="E49" s="1">
        <v>33882</v>
      </c>
      <c r="F49" s="1">
        <v>43346</v>
      </c>
      <c r="G49" t="s">
        <v>25</v>
      </c>
      <c r="H49" t="s">
        <v>217</v>
      </c>
      <c r="I49" t="s">
        <v>18</v>
      </c>
      <c r="J49">
        <v>3000</v>
      </c>
      <c r="K49" t="s">
        <v>19</v>
      </c>
      <c r="L49" t="s">
        <v>20</v>
      </c>
      <c r="M49" s="5">
        <f ca="1">INT((TODAY()-tbl_empleados[[#This Row],[fecha_ingreso]])/365.25)</f>
        <v>7</v>
      </c>
    </row>
    <row r="50" spans="1:13" x14ac:dyDescent="0.3">
      <c r="A50" t="s">
        <v>218</v>
      </c>
      <c r="B50" t="s">
        <v>219</v>
      </c>
      <c r="C50" t="s">
        <v>220</v>
      </c>
      <c r="D50" t="s">
        <v>15</v>
      </c>
      <c r="E50" s="1">
        <v>29734</v>
      </c>
      <c r="F50" s="1">
        <v>39092</v>
      </c>
      <c r="G50" t="s">
        <v>44</v>
      </c>
      <c r="H50" t="s">
        <v>221</v>
      </c>
      <c r="I50" t="s">
        <v>63</v>
      </c>
      <c r="J50">
        <v>6800</v>
      </c>
      <c r="K50" t="s">
        <v>27</v>
      </c>
      <c r="L50" t="s">
        <v>20</v>
      </c>
      <c r="M50" s="5">
        <f ca="1">INT((TODAY()-tbl_empleados[[#This Row],[fecha_ingreso]])/365.25)</f>
        <v>19</v>
      </c>
    </row>
    <row r="51" spans="1:13" x14ac:dyDescent="0.3">
      <c r="A51" t="s">
        <v>222</v>
      </c>
      <c r="B51" t="s">
        <v>223</v>
      </c>
      <c r="C51" t="s">
        <v>224</v>
      </c>
      <c r="D51" t="s">
        <v>24</v>
      </c>
      <c r="E51" s="1">
        <v>35658</v>
      </c>
      <c r="F51" s="1">
        <v>44858</v>
      </c>
      <c r="G51" t="s">
        <v>49</v>
      </c>
      <c r="H51" t="s">
        <v>225</v>
      </c>
      <c r="I51" t="s">
        <v>33</v>
      </c>
      <c r="J51">
        <v>2200</v>
      </c>
      <c r="K51" t="s">
        <v>34</v>
      </c>
      <c r="L51" t="s">
        <v>20</v>
      </c>
      <c r="M51" s="5">
        <f ca="1">INT((TODAY()-tbl_empleados[[#This Row],[fecha_ingreso]])/365.25)</f>
        <v>3</v>
      </c>
    </row>
    <row r="52" spans="1:13" x14ac:dyDescent="0.3">
      <c r="A52" t="s">
        <v>226</v>
      </c>
      <c r="B52" t="s">
        <v>227</v>
      </c>
      <c r="C52" t="s">
        <v>228</v>
      </c>
      <c r="D52" t="s">
        <v>15</v>
      </c>
      <c r="E52" s="1">
        <v>31719</v>
      </c>
      <c r="F52" s="1">
        <v>41334</v>
      </c>
      <c r="G52" t="s">
        <v>16</v>
      </c>
      <c r="H52" t="s">
        <v>229</v>
      </c>
      <c r="I52" t="s">
        <v>18</v>
      </c>
      <c r="J52">
        <v>3700</v>
      </c>
      <c r="K52" t="s">
        <v>19</v>
      </c>
      <c r="L52" t="s">
        <v>20</v>
      </c>
      <c r="M52" s="5">
        <f ca="1">INT((TODAY()-tbl_empleados[[#This Row],[fecha_ingreso]])/365.25)</f>
        <v>13</v>
      </c>
    </row>
    <row r="53" spans="1:13" x14ac:dyDescent="0.3">
      <c r="A53" t="s">
        <v>230</v>
      </c>
      <c r="B53" t="s">
        <v>231</v>
      </c>
      <c r="C53" t="s">
        <v>232</v>
      </c>
      <c r="D53" t="s">
        <v>24</v>
      </c>
      <c r="E53" s="1">
        <v>33410</v>
      </c>
      <c r="F53" s="1">
        <v>42719</v>
      </c>
      <c r="G53" t="s">
        <v>31</v>
      </c>
      <c r="H53" t="s">
        <v>103</v>
      </c>
      <c r="I53" t="s">
        <v>18</v>
      </c>
      <c r="J53">
        <v>3100</v>
      </c>
      <c r="K53" t="s">
        <v>19</v>
      </c>
      <c r="L53" t="s">
        <v>104</v>
      </c>
      <c r="M53" s="5">
        <f ca="1">INT((TODAY()-tbl_empleados[[#This Row],[fecha_ingreso]])/365.25)</f>
        <v>9</v>
      </c>
    </row>
    <row r="54" spans="1:13" x14ac:dyDescent="0.3">
      <c r="A54" t="s">
        <v>233</v>
      </c>
      <c r="B54" t="s">
        <v>234</v>
      </c>
      <c r="C54" t="s">
        <v>235</v>
      </c>
      <c r="D54" t="s">
        <v>15</v>
      </c>
      <c r="E54" s="1">
        <v>30726</v>
      </c>
      <c r="F54" s="1">
        <v>40330</v>
      </c>
      <c r="G54" t="s">
        <v>39</v>
      </c>
      <c r="H54" t="s">
        <v>236</v>
      </c>
      <c r="I54" t="s">
        <v>18</v>
      </c>
      <c r="J54">
        <v>5300</v>
      </c>
      <c r="K54" t="s">
        <v>27</v>
      </c>
      <c r="L54" t="s">
        <v>20</v>
      </c>
      <c r="M54" s="5">
        <f ca="1">INT((TODAY()-tbl_empleados[[#This Row],[fecha_ingreso]])/365.25)</f>
        <v>16</v>
      </c>
    </row>
    <row r="55" spans="1:13" x14ac:dyDescent="0.3">
      <c r="A55" t="s">
        <v>237</v>
      </c>
      <c r="B55" t="s">
        <v>238</v>
      </c>
      <c r="C55" t="s">
        <v>14</v>
      </c>
      <c r="D55" t="s">
        <v>24</v>
      </c>
      <c r="E55" s="1">
        <v>34220</v>
      </c>
      <c r="F55" s="1">
        <v>43514</v>
      </c>
      <c r="G55" t="s">
        <v>44</v>
      </c>
      <c r="H55" t="s">
        <v>239</v>
      </c>
      <c r="I55" t="s">
        <v>18</v>
      </c>
      <c r="J55">
        <v>3500</v>
      </c>
      <c r="K55" t="s">
        <v>19</v>
      </c>
      <c r="L55" t="s">
        <v>20</v>
      </c>
      <c r="M55" s="5">
        <f ca="1">INT((TODAY()-tbl_empleados[[#This Row],[fecha_ingreso]])/365.25)</f>
        <v>7</v>
      </c>
    </row>
    <row r="56" spans="1:13" x14ac:dyDescent="0.3">
      <c r="A56" t="s">
        <v>240</v>
      </c>
      <c r="B56" t="s">
        <v>241</v>
      </c>
      <c r="C56" t="s">
        <v>242</v>
      </c>
      <c r="D56" t="s">
        <v>15</v>
      </c>
      <c r="E56" s="1">
        <v>29580</v>
      </c>
      <c r="F56" s="1">
        <v>38930</v>
      </c>
      <c r="G56" t="s">
        <v>25</v>
      </c>
      <c r="H56" t="s">
        <v>243</v>
      </c>
      <c r="I56" t="s">
        <v>63</v>
      </c>
      <c r="J56">
        <v>9500</v>
      </c>
      <c r="K56" t="s">
        <v>27</v>
      </c>
      <c r="L56" t="s">
        <v>20</v>
      </c>
      <c r="M56" s="5">
        <f ca="1">INT((TODAY()-tbl_empleados[[#This Row],[fecha_ingreso]])/365.25)</f>
        <v>20</v>
      </c>
    </row>
    <row r="57" spans="1:13" x14ac:dyDescent="0.3">
      <c r="A57" t="s">
        <v>244</v>
      </c>
      <c r="B57" t="s">
        <v>245</v>
      </c>
      <c r="C57" t="s">
        <v>246</v>
      </c>
      <c r="D57" t="s">
        <v>24</v>
      </c>
      <c r="E57" s="1">
        <v>34789</v>
      </c>
      <c r="F57" s="1">
        <v>44207</v>
      </c>
      <c r="G57" t="s">
        <v>16</v>
      </c>
      <c r="H57" t="s">
        <v>17</v>
      </c>
      <c r="I57" t="s">
        <v>18</v>
      </c>
      <c r="J57">
        <v>2900</v>
      </c>
      <c r="K57" t="s">
        <v>34</v>
      </c>
      <c r="L57" t="s">
        <v>35</v>
      </c>
      <c r="M57" s="5">
        <f ca="1">INT((TODAY()-tbl_empleados[[#This Row],[fecha_ingreso]])/365.25)</f>
        <v>5</v>
      </c>
    </row>
    <row r="58" spans="1:13" x14ac:dyDescent="0.3">
      <c r="A58" t="s">
        <v>247</v>
      </c>
      <c r="B58" t="s">
        <v>248</v>
      </c>
      <c r="C58" t="s">
        <v>249</v>
      </c>
      <c r="D58" t="s">
        <v>15</v>
      </c>
      <c r="E58" s="1">
        <v>31976</v>
      </c>
      <c r="F58" s="1">
        <v>41913</v>
      </c>
      <c r="G58" t="s">
        <v>31</v>
      </c>
      <c r="H58" t="s">
        <v>250</v>
      </c>
      <c r="I58" t="s">
        <v>33</v>
      </c>
      <c r="J58">
        <v>3300</v>
      </c>
      <c r="K58" t="s">
        <v>19</v>
      </c>
      <c r="L58" t="s">
        <v>35</v>
      </c>
      <c r="M58" s="5">
        <f ca="1">INT((TODAY()-tbl_empleados[[#This Row],[fecha_ingreso]])/365.25)</f>
        <v>11</v>
      </c>
    </row>
    <row r="59" spans="1:13" x14ac:dyDescent="0.3">
      <c r="A59" t="s">
        <v>251</v>
      </c>
      <c r="B59" t="s">
        <v>252</v>
      </c>
      <c r="C59" t="s">
        <v>253</v>
      </c>
      <c r="D59" t="s">
        <v>24</v>
      </c>
      <c r="E59" s="1">
        <v>32989</v>
      </c>
      <c r="F59" s="1">
        <v>42849</v>
      </c>
      <c r="G59" t="s">
        <v>39</v>
      </c>
      <c r="H59" t="s">
        <v>254</v>
      </c>
      <c r="I59" t="s">
        <v>18</v>
      </c>
      <c r="J59">
        <v>4100</v>
      </c>
      <c r="K59" t="s">
        <v>19</v>
      </c>
      <c r="L59" t="s">
        <v>20</v>
      </c>
      <c r="M59" s="5">
        <f ca="1">INT((TODAY()-tbl_empleados[[#This Row],[fecha_ingreso]])/365.25)</f>
        <v>9</v>
      </c>
    </row>
    <row r="60" spans="1:13" x14ac:dyDescent="0.3">
      <c r="A60" t="s">
        <v>255</v>
      </c>
      <c r="B60" t="s">
        <v>256</v>
      </c>
      <c r="C60" t="s">
        <v>257</v>
      </c>
      <c r="D60" t="s">
        <v>15</v>
      </c>
      <c r="E60" s="1">
        <v>30207</v>
      </c>
      <c r="F60" s="1">
        <v>39783</v>
      </c>
      <c r="G60" t="s">
        <v>49</v>
      </c>
      <c r="H60" t="s">
        <v>258</v>
      </c>
      <c r="I60" t="s">
        <v>63</v>
      </c>
      <c r="J60">
        <v>10500</v>
      </c>
      <c r="K60" t="s">
        <v>27</v>
      </c>
      <c r="L60" t="s">
        <v>20</v>
      </c>
      <c r="M60" s="5">
        <f ca="1">INT((TODAY()-tbl_empleados[[#This Row],[fecha_ingreso]])/365.25)</f>
        <v>17</v>
      </c>
    </row>
    <row r="61" spans="1:13" x14ac:dyDescent="0.3">
      <c r="A61" t="s">
        <v>259</v>
      </c>
      <c r="B61" t="s">
        <v>260</v>
      </c>
      <c r="C61" t="s">
        <v>261</v>
      </c>
      <c r="D61" t="s">
        <v>24</v>
      </c>
      <c r="E61" s="1">
        <v>35802</v>
      </c>
      <c r="F61" s="1">
        <v>45110</v>
      </c>
      <c r="G61" t="s">
        <v>44</v>
      </c>
      <c r="H61" t="s">
        <v>262</v>
      </c>
      <c r="I61" t="s">
        <v>18</v>
      </c>
      <c r="J61">
        <v>1200</v>
      </c>
      <c r="K61" t="s">
        <v>34</v>
      </c>
      <c r="L61" t="s">
        <v>20</v>
      </c>
      <c r="M61" s="5">
        <f ca="1">INT((TODAY()-tbl_empleados[[#This Row],[fecha_ingreso]])/365.25)</f>
        <v>3</v>
      </c>
    </row>
    <row r="62" spans="1:13" x14ac:dyDescent="0.3">
      <c r="A62" t="s">
        <v>263</v>
      </c>
      <c r="B62" t="s">
        <v>264</v>
      </c>
      <c r="C62" t="s">
        <v>265</v>
      </c>
      <c r="D62" t="s">
        <v>15</v>
      </c>
      <c r="E62" s="1">
        <v>31202</v>
      </c>
      <c r="F62" s="1">
        <v>41153</v>
      </c>
      <c r="G62" t="s">
        <v>16</v>
      </c>
      <c r="H62" t="s">
        <v>266</v>
      </c>
      <c r="I62" t="s">
        <v>18</v>
      </c>
      <c r="J62">
        <v>4900</v>
      </c>
      <c r="K62" t="s">
        <v>19</v>
      </c>
      <c r="L62" t="s">
        <v>20</v>
      </c>
      <c r="M62" s="5">
        <f ca="1">INT((TODAY()-tbl_empleados[[#This Row],[fecha_ingreso]])/365.25)</f>
        <v>13</v>
      </c>
    </row>
    <row r="63" spans="1:13" x14ac:dyDescent="0.3">
      <c r="A63" t="s">
        <v>267</v>
      </c>
      <c r="B63" t="s">
        <v>268</v>
      </c>
      <c r="C63" t="s">
        <v>269</v>
      </c>
      <c r="D63" t="s">
        <v>24</v>
      </c>
      <c r="E63" s="1">
        <v>34658</v>
      </c>
      <c r="F63" s="1">
        <v>43871</v>
      </c>
      <c r="G63" t="s">
        <v>39</v>
      </c>
      <c r="H63" t="s">
        <v>270</v>
      </c>
      <c r="I63" t="s">
        <v>18</v>
      </c>
      <c r="J63">
        <v>5200</v>
      </c>
      <c r="K63" t="s">
        <v>27</v>
      </c>
      <c r="L63" t="s">
        <v>20</v>
      </c>
      <c r="M63" s="5">
        <f ca="1">INT((TODAY()-tbl_empleados[[#This Row],[fecha_ingreso]])/365.25)</f>
        <v>6</v>
      </c>
    </row>
    <row r="64" spans="1:13" x14ac:dyDescent="0.3">
      <c r="A64" t="s">
        <v>271</v>
      </c>
      <c r="B64" t="s">
        <v>272</v>
      </c>
      <c r="C64" t="s">
        <v>273</v>
      </c>
      <c r="D64" t="s">
        <v>15</v>
      </c>
      <c r="E64" s="1">
        <v>28923</v>
      </c>
      <c r="F64" s="1">
        <v>38457</v>
      </c>
      <c r="G64" t="s">
        <v>31</v>
      </c>
      <c r="H64" t="s">
        <v>274</v>
      </c>
      <c r="I64" t="s">
        <v>63</v>
      </c>
      <c r="J64">
        <v>12000</v>
      </c>
      <c r="K64" t="s">
        <v>27</v>
      </c>
      <c r="L64" t="s">
        <v>20</v>
      </c>
      <c r="M64" s="5">
        <f ca="1">INT((TODAY()-tbl_empleados[[#This Row],[fecha_ingreso]])/365.25)</f>
        <v>21</v>
      </c>
    </row>
    <row r="65" spans="1:13" x14ac:dyDescent="0.3">
      <c r="A65" t="s">
        <v>275</v>
      </c>
      <c r="B65" t="s">
        <v>276</v>
      </c>
      <c r="C65" t="s">
        <v>277</v>
      </c>
      <c r="D65" t="s">
        <v>24</v>
      </c>
      <c r="E65" s="1">
        <v>33833</v>
      </c>
      <c r="F65" s="1">
        <v>43252</v>
      </c>
      <c r="G65" t="s">
        <v>25</v>
      </c>
      <c r="H65" t="s">
        <v>278</v>
      </c>
      <c r="I65" t="s">
        <v>18</v>
      </c>
      <c r="J65">
        <v>2900</v>
      </c>
      <c r="K65" t="s">
        <v>19</v>
      </c>
      <c r="L65" t="s">
        <v>20</v>
      </c>
      <c r="M65" s="5">
        <f ca="1">INT((TODAY()-tbl_empleados[[#This Row],[fecha_ingreso]])/365.25)</f>
        <v>8</v>
      </c>
    </row>
    <row r="66" spans="1:13" x14ac:dyDescent="0.3">
      <c r="A66" t="s">
        <v>279</v>
      </c>
      <c r="B66" t="s">
        <v>280</v>
      </c>
      <c r="C66" t="s">
        <v>281</v>
      </c>
      <c r="D66" t="s">
        <v>15</v>
      </c>
      <c r="E66" s="1">
        <v>32165</v>
      </c>
      <c r="F66" s="1">
        <v>42036</v>
      </c>
      <c r="G66" t="s">
        <v>44</v>
      </c>
      <c r="H66" t="s">
        <v>67</v>
      </c>
      <c r="I66" t="s">
        <v>18</v>
      </c>
      <c r="J66">
        <v>3400</v>
      </c>
      <c r="K66" t="s">
        <v>19</v>
      </c>
      <c r="L66" t="s">
        <v>20</v>
      </c>
      <c r="M66" s="5">
        <f ca="1">INT((TODAY()-tbl_empleados[[#This Row],[fecha_ingreso]])/365.25)</f>
        <v>11</v>
      </c>
    </row>
    <row r="67" spans="1:13" x14ac:dyDescent="0.3">
      <c r="A67" t="s">
        <v>282</v>
      </c>
      <c r="B67" t="s">
        <v>283</v>
      </c>
      <c r="C67" t="s">
        <v>284</v>
      </c>
      <c r="D67" t="s">
        <v>24</v>
      </c>
      <c r="E67" s="1">
        <v>35196</v>
      </c>
      <c r="F67" s="1">
        <v>44424</v>
      </c>
      <c r="G67" t="s">
        <v>49</v>
      </c>
      <c r="H67" t="s">
        <v>285</v>
      </c>
      <c r="I67" t="s">
        <v>18</v>
      </c>
      <c r="J67">
        <v>2800</v>
      </c>
      <c r="K67" t="s">
        <v>19</v>
      </c>
      <c r="L67" t="s">
        <v>20</v>
      </c>
      <c r="M67" s="5">
        <f ca="1">INT((TODAY()-tbl_empleados[[#This Row],[fecha_ingreso]])/365.25)</f>
        <v>4</v>
      </c>
    </row>
    <row r="68" spans="1:13" x14ac:dyDescent="0.3">
      <c r="A68" t="s">
        <v>286</v>
      </c>
      <c r="B68" t="s">
        <v>287</v>
      </c>
      <c r="C68" t="s">
        <v>14</v>
      </c>
      <c r="D68" t="s">
        <v>15</v>
      </c>
      <c r="E68" s="1">
        <v>30618</v>
      </c>
      <c r="F68" s="1">
        <v>40014</v>
      </c>
      <c r="G68" t="s">
        <v>39</v>
      </c>
      <c r="H68" t="s">
        <v>288</v>
      </c>
      <c r="I68" t="s">
        <v>63</v>
      </c>
      <c r="J68">
        <v>8900</v>
      </c>
      <c r="K68" t="s">
        <v>27</v>
      </c>
      <c r="L68" t="s">
        <v>20</v>
      </c>
      <c r="M68" s="5">
        <f ca="1">INT((TODAY()-tbl_empleados[[#This Row],[fecha_ingreso]])/365.25)</f>
        <v>17</v>
      </c>
    </row>
    <row r="69" spans="1:13" x14ac:dyDescent="0.3">
      <c r="A69" t="s">
        <v>289</v>
      </c>
      <c r="B69" t="s">
        <v>290</v>
      </c>
      <c r="C69" t="s">
        <v>291</v>
      </c>
      <c r="D69" t="s">
        <v>24</v>
      </c>
      <c r="E69" s="1">
        <v>33303</v>
      </c>
      <c r="F69" s="1">
        <v>42675</v>
      </c>
      <c r="G69" t="s">
        <v>16</v>
      </c>
      <c r="H69" t="s">
        <v>292</v>
      </c>
      <c r="I69" t="s">
        <v>18</v>
      </c>
      <c r="J69">
        <v>4600</v>
      </c>
      <c r="K69" t="s">
        <v>27</v>
      </c>
      <c r="L69" t="s">
        <v>20</v>
      </c>
      <c r="M69" s="5">
        <f ca="1">INT((TODAY()-tbl_empleados[[#This Row],[fecha_ingreso]])/365.25)</f>
        <v>9</v>
      </c>
    </row>
    <row r="70" spans="1:13" x14ac:dyDescent="0.3">
      <c r="A70" t="s">
        <v>293</v>
      </c>
      <c r="B70" t="s">
        <v>294</v>
      </c>
      <c r="C70" t="s">
        <v>295</v>
      </c>
      <c r="D70" t="s">
        <v>15</v>
      </c>
      <c r="E70" s="1">
        <v>31639</v>
      </c>
      <c r="F70" s="1">
        <v>41395</v>
      </c>
      <c r="G70" t="s">
        <v>31</v>
      </c>
      <c r="H70" t="s">
        <v>296</v>
      </c>
      <c r="I70" t="s">
        <v>119</v>
      </c>
      <c r="J70">
        <v>2000</v>
      </c>
      <c r="K70" t="s">
        <v>34</v>
      </c>
      <c r="L70" t="s">
        <v>297</v>
      </c>
      <c r="M70" s="5">
        <f ca="1">INT((TODAY()-tbl_empleados[[#This Row],[fecha_ingreso]])/365.25)</f>
        <v>13</v>
      </c>
    </row>
    <row r="71" spans="1:13" x14ac:dyDescent="0.3">
      <c r="A71" t="s">
        <v>298</v>
      </c>
      <c r="B71" t="s">
        <v>299</v>
      </c>
      <c r="C71" t="s">
        <v>300</v>
      </c>
      <c r="D71" t="s">
        <v>24</v>
      </c>
      <c r="E71" s="1">
        <v>33209</v>
      </c>
      <c r="F71" s="1">
        <v>42989</v>
      </c>
      <c r="G71" t="s">
        <v>44</v>
      </c>
      <c r="H71" t="s">
        <v>301</v>
      </c>
      <c r="I71" t="s">
        <v>18</v>
      </c>
      <c r="J71">
        <v>5600</v>
      </c>
      <c r="K71" t="s">
        <v>27</v>
      </c>
      <c r="L71" t="s">
        <v>20</v>
      </c>
      <c r="M71" s="5">
        <f ca="1">INT((TODAY()-tbl_empleados[[#This Row],[fecha_ingreso]])/365.25)</f>
        <v>8</v>
      </c>
    </row>
    <row r="72" spans="1:13" x14ac:dyDescent="0.3">
      <c r="A72" t="s">
        <v>302</v>
      </c>
      <c r="B72" t="s">
        <v>303</v>
      </c>
      <c r="C72" t="s">
        <v>14</v>
      </c>
      <c r="D72" t="s">
        <v>15</v>
      </c>
      <c r="E72" s="1">
        <v>30790</v>
      </c>
      <c r="F72" s="1">
        <v>40238</v>
      </c>
      <c r="G72" t="s">
        <v>25</v>
      </c>
      <c r="H72" t="s">
        <v>304</v>
      </c>
      <c r="I72" t="s">
        <v>18</v>
      </c>
      <c r="J72">
        <v>4200</v>
      </c>
      <c r="K72" t="s">
        <v>19</v>
      </c>
      <c r="L72" t="s">
        <v>20</v>
      </c>
      <c r="M72" s="5">
        <f ca="1">INT((TODAY()-tbl_empleados[[#This Row],[fecha_ingreso]])/365.25)</f>
        <v>16</v>
      </c>
    </row>
    <row r="73" spans="1:13" x14ac:dyDescent="0.3">
      <c r="A73" t="s">
        <v>305</v>
      </c>
      <c r="B73" t="s">
        <v>306</v>
      </c>
      <c r="C73" t="s">
        <v>307</v>
      </c>
      <c r="D73" t="s">
        <v>24</v>
      </c>
      <c r="E73" s="1">
        <v>35636</v>
      </c>
      <c r="F73" s="1">
        <v>44627</v>
      </c>
      <c r="G73" t="s">
        <v>49</v>
      </c>
      <c r="H73" t="s">
        <v>308</v>
      </c>
      <c r="I73" t="s">
        <v>18</v>
      </c>
      <c r="J73">
        <v>3000</v>
      </c>
      <c r="K73" t="s">
        <v>19</v>
      </c>
      <c r="L73" t="s">
        <v>20</v>
      </c>
      <c r="M73" s="5">
        <f ca="1">INT((TODAY()-tbl_empleados[[#This Row],[fecha_ingreso]])/365.25)</f>
        <v>4</v>
      </c>
    </row>
    <row r="74" spans="1:13" x14ac:dyDescent="0.3">
      <c r="A74" t="s">
        <v>309</v>
      </c>
      <c r="B74" t="s">
        <v>310</v>
      </c>
      <c r="C74" t="s">
        <v>311</v>
      </c>
      <c r="D74" t="s">
        <v>15</v>
      </c>
      <c r="E74" s="1">
        <v>29902</v>
      </c>
      <c r="F74" s="1">
        <v>39426</v>
      </c>
      <c r="G74" t="s">
        <v>16</v>
      </c>
      <c r="H74" t="s">
        <v>312</v>
      </c>
      <c r="I74" t="s">
        <v>63</v>
      </c>
      <c r="J74">
        <v>7500</v>
      </c>
      <c r="K74" t="s">
        <v>27</v>
      </c>
      <c r="L74" t="s">
        <v>20</v>
      </c>
      <c r="M74" s="5">
        <f ca="1">INT((TODAY()-tbl_empleados[[#This Row],[fecha_ingreso]])/365.25)</f>
        <v>18</v>
      </c>
    </row>
    <row r="75" spans="1:13" x14ac:dyDescent="0.3">
      <c r="A75" t="s">
        <v>313</v>
      </c>
      <c r="B75" t="s">
        <v>314</v>
      </c>
      <c r="C75" t="s">
        <v>315</v>
      </c>
      <c r="D75" t="s">
        <v>24</v>
      </c>
      <c r="E75" s="1">
        <v>34738</v>
      </c>
      <c r="F75" s="1">
        <v>44319</v>
      </c>
      <c r="G75" t="s">
        <v>39</v>
      </c>
      <c r="H75" t="s">
        <v>316</v>
      </c>
      <c r="I75" t="s">
        <v>18</v>
      </c>
      <c r="J75">
        <v>4400</v>
      </c>
      <c r="K75" t="s">
        <v>27</v>
      </c>
      <c r="L75" t="s">
        <v>20</v>
      </c>
      <c r="M75" s="5">
        <f ca="1">INT((TODAY()-tbl_empleados[[#This Row],[fecha_ingreso]])/365.25)</f>
        <v>5</v>
      </c>
    </row>
    <row r="76" spans="1:13" x14ac:dyDescent="0.3">
      <c r="A76" t="s">
        <v>317</v>
      </c>
      <c r="B76" t="s">
        <v>318</v>
      </c>
      <c r="C76" t="s">
        <v>319</v>
      </c>
      <c r="D76" t="s">
        <v>15</v>
      </c>
      <c r="E76" s="1">
        <v>29398</v>
      </c>
      <c r="F76" s="1">
        <v>38991</v>
      </c>
      <c r="G76" t="s">
        <v>31</v>
      </c>
      <c r="H76" t="s">
        <v>320</v>
      </c>
      <c r="I76" t="s">
        <v>63</v>
      </c>
      <c r="J76">
        <v>8100</v>
      </c>
      <c r="K76" t="s">
        <v>27</v>
      </c>
      <c r="L76" t="s">
        <v>35</v>
      </c>
      <c r="M76" s="5">
        <f ca="1">INT((TODAY()-tbl_empleados[[#This Row],[fecha_ingreso]])/365.25)</f>
        <v>19</v>
      </c>
    </row>
    <row r="77" spans="1:13" x14ac:dyDescent="0.3">
      <c r="A77" t="s">
        <v>321</v>
      </c>
      <c r="B77" t="s">
        <v>322</v>
      </c>
      <c r="C77" t="s">
        <v>323</v>
      </c>
      <c r="D77" t="s">
        <v>24</v>
      </c>
      <c r="E77" s="1">
        <v>33982</v>
      </c>
      <c r="F77" s="1">
        <v>43668</v>
      </c>
      <c r="G77" t="s">
        <v>44</v>
      </c>
      <c r="H77" t="s">
        <v>324</v>
      </c>
      <c r="I77" t="s">
        <v>18</v>
      </c>
      <c r="J77">
        <v>3300</v>
      </c>
      <c r="K77" t="s">
        <v>19</v>
      </c>
      <c r="L77" t="s">
        <v>20</v>
      </c>
      <c r="M77" s="5">
        <f ca="1">INT((TODAY()-tbl_empleados[[#This Row],[fecha_ingreso]])/365.25)</f>
        <v>7</v>
      </c>
    </row>
    <row r="78" spans="1:13" x14ac:dyDescent="0.3">
      <c r="A78" t="s">
        <v>325</v>
      </c>
      <c r="B78" t="s">
        <v>326</v>
      </c>
      <c r="C78" t="s">
        <v>327</v>
      </c>
      <c r="D78" t="s">
        <v>15</v>
      </c>
      <c r="E78" s="1">
        <v>32021</v>
      </c>
      <c r="F78" s="1">
        <v>41866</v>
      </c>
      <c r="G78" t="s">
        <v>39</v>
      </c>
      <c r="H78" t="s">
        <v>328</v>
      </c>
      <c r="I78" t="s">
        <v>18</v>
      </c>
      <c r="J78">
        <v>4800</v>
      </c>
      <c r="K78" t="s">
        <v>19</v>
      </c>
      <c r="L78" t="s">
        <v>20</v>
      </c>
      <c r="M78" s="5">
        <f ca="1">INT((TODAY()-tbl_empleados[[#This Row],[fecha_ingreso]])/365.25)</f>
        <v>11</v>
      </c>
    </row>
    <row r="79" spans="1:13" x14ac:dyDescent="0.3">
      <c r="A79" t="s">
        <v>329</v>
      </c>
      <c r="B79" t="s">
        <v>330</v>
      </c>
      <c r="C79" t="s">
        <v>331</v>
      </c>
      <c r="D79" t="s">
        <v>24</v>
      </c>
      <c r="E79" s="1">
        <v>33774</v>
      </c>
      <c r="F79" s="1">
        <v>43108</v>
      </c>
      <c r="G79" t="s">
        <v>25</v>
      </c>
      <c r="H79" t="s">
        <v>332</v>
      </c>
      <c r="I79" t="s">
        <v>18</v>
      </c>
      <c r="J79">
        <v>3100</v>
      </c>
      <c r="K79" t="s">
        <v>19</v>
      </c>
      <c r="L79" t="s">
        <v>20</v>
      </c>
      <c r="M79" s="5">
        <f ca="1">INT((TODAY()-tbl_empleados[[#This Row],[fecha_ingreso]])/365.25)</f>
        <v>8</v>
      </c>
    </row>
    <row r="80" spans="1:13" x14ac:dyDescent="0.3">
      <c r="A80" t="s">
        <v>333</v>
      </c>
      <c r="B80" t="s">
        <v>334</v>
      </c>
      <c r="C80" t="s">
        <v>335</v>
      </c>
      <c r="D80" t="s">
        <v>15</v>
      </c>
      <c r="E80" s="1">
        <v>31144</v>
      </c>
      <c r="F80" s="1">
        <v>40836</v>
      </c>
      <c r="G80" t="s">
        <v>49</v>
      </c>
      <c r="H80" t="s">
        <v>336</v>
      </c>
      <c r="I80" t="s">
        <v>63</v>
      </c>
      <c r="J80">
        <v>8600</v>
      </c>
      <c r="K80" t="s">
        <v>27</v>
      </c>
      <c r="L80" t="s">
        <v>20</v>
      </c>
      <c r="M80" s="5">
        <f ca="1">INT((TODAY()-tbl_empleados[[#This Row],[fecha_ingreso]])/365.25)</f>
        <v>14</v>
      </c>
    </row>
    <row r="81" spans="1:13" x14ac:dyDescent="0.3">
      <c r="A81" t="s">
        <v>337</v>
      </c>
      <c r="B81" t="s">
        <v>338</v>
      </c>
      <c r="C81" t="s">
        <v>14</v>
      </c>
      <c r="D81" t="s">
        <v>24</v>
      </c>
      <c r="E81" s="1">
        <v>36052</v>
      </c>
      <c r="F81" s="1">
        <v>45201</v>
      </c>
      <c r="G81" t="s">
        <v>16</v>
      </c>
      <c r="H81" t="s">
        <v>17</v>
      </c>
      <c r="I81" t="s">
        <v>33</v>
      </c>
      <c r="J81">
        <v>2400</v>
      </c>
      <c r="K81" t="s">
        <v>34</v>
      </c>
      <c r="L81" t="s">
        <v>20</v>
      </c>
      <c r="M81" s="5">
        <f ca="1">INT((TODAY()-tbl_empleados[[#This Row],[fecha_ingreso]])/365.25)</f>
        <v>2</v>
      </c>
    </row>
    <row r="82" spans="1:13" x14ac:dyDescent="0.3">
      <c r="A82" t="s">
        <v>339</v>
      </c>
      <c r="B82" t="s">
        <v>340</v>
      </c>
      <c r="C82" t="s">
        <v>341</v>
      </c>
      <c r="D82" t="s">
        <v>15</v>
      </c>
      <c r="E82" s="1">
        <v>30519</v>
      </c>
      <c r="F82" s="1">
        <v>39845</v>
      </c>
      <c r="G82" t="s">
        <v>31</v>
      </c>
      <c r="H82" t="s">
        <v>342</v>
      </c>
      <c r="I82" t="s">
        <v>18</v>
      </c>
      <c r="J82">
        <v>3000</v>
      </c>
      <c r="K82" t="s">
        <v>19</v>
      </c>
      <c r="L82" t="s">
        <v>20</v>
      </c>
      <c r="M82" s="5">
        <f ca="1">INT((TODAY()-tbl_empleados[[#This Row],[fecha_ingreso]])/365.25)</f>
        <v>17</v>
      </c>
    </row>
    <row r="83" spans="1:13" x14ac:dyDescent="0.3">
      <c r="A83" t="s">
        <v>343</v>
      </c>
      <c r="B83" t="s">
        <v>344</v>
      </c>
      <c r="C83" t="s">
        <v>345</v>
      </c>
      <c r="D83" t="s">
        <v>24</v>
      </c>
      <c r="E83" s="1">
        <v>34677</v>
      </c>
      <c r="F83" s="1">
        <v>44088</v>
      </c>
      <c r="G83" t="s">
        <v>39</v>
      </c>
      <c r="H83" t="s">
        <v>346</v>
      </c>
      <c r="I83" t="s">
        <v>18</v>
      </c>
      <c r="J83">
        <v>5500</v>
      </c>
      <c r="K83" t="s">
        <v>27</v>
      </c>
      <c r="L83" t="s">
        <v>20</v>
      </c>
      <c r="M83" s="5">
        <f ca="1">INT((TODAY()-tbl_empleados[[#This Row],[fecha_ingreso]])/365.25)</f>
        <v>5</v>
      </c>
    </row>
    <row r="84" spans="1:13" x14ac:dyDescent="0.3">
      <c r="A84" t="s">
        <v>347</v>
      </c>
      <c r="B84" t="s">
        <v>348</v>
      </c>
      <c r="C84" t="s">
        <v>349</v>
      </c>
      <c r="D84" t="s">
        <v>15</v>
      </c>
      <c r="E84" s="1">
        <v>28992</v>
      </c>
      <c r="F84" s="1">
        <v>38657</v>
      </c>
      <c r="G84" t="s">
        <v>44</v>
      </c>
      <c r="H84" t="s">
        <v>350</v>
      </c>
      <c r="I84" t="s">
        <v>63</v>
      </c>
      <c r="J84">
        <v>14000</v>
      </c>
      <c r="K84" t="s">
        <v>27</v>
      </c>
      <c r="L84" t="s">
        <v>20</v>
      </c>
      <c r="M84" s="5">
        <f ca="1">INT((TODAY()-tbl_empleados[[#This Row],[fecha_ingreso]])/365.25)</f>
        <v>20</v>
      </c>
    </row>
    <row r="85" spans="1:13" x14ac:dyDescent="0.3">
      <c r="A85" t="s">
        <v>351</v>
      </c>
      <c r="B85" t="s">
        <v>352</v>
      </c>
      <c r="C85" t="s">
        <v>353</v>
      </c>
      <c r="D85" t="s">
        <v>24</v>
      </c>
      <c r="E85" s="1">
        <v>33535</v>
      </c>
      <c r="F85" s="1">
        <v>42919</v>
      </c>
      <c r="G85" t="s">
        <v>49</v>
      </c>
      <c r="H85" t="s">
        <v>354</v>
      </c>
      <c r="I85" t="s">
        <v>18</v>
      </c>
      <c r="J85">
        <v>3300</v>
      </c>
      <c r="K85" t="s">
        <v>19</v>
      </c>
      <c r="L85" t="s">
        <v>20</v>
      </c>
      <c r="M85" s="5">
        <f ca="1">INT((TODAY()-tbl_empleados[[#This Row],[fecha_ingreso]])/365.25)</f>
        <v>9</v>
      </c>
    </row>
    <row r="86" spans="1:13" x14ac:dyDescent="0.3">
      <c r="A86" t="s">
        <v>355</v>
      </c>
      <c r="B86" t="s">
        <v>356</v>
      </c>
      <c r="C86" t="s">
        <v>249</v>
      </c>
      <c r="D86" t="s">
        <v>15</v>
      </c>
      <c r="E86" s="1">
        <v>31474</v>
      </c>
      <c r="F86" s="1">
        <v>41253</v>
      </c>
      <c r="G86" t="s">
        <v>16</v>
      </c>
      <c r="H86" t="s">
        <v>357</v>
      </c>
      <c r="I86" t="s">
        <v>18</v>
      </c>
      <c r="J86">
        <v>3100</v>
      </c>
      <c r="K86" t="s">
        <v>19</v>
      </c>
      <c r="L86" t="s">
        <v>20</v>
      </c>
      <c r="M86" s="5">
        <f ca="1">INT((TODAY()-tbl_empleados[[#This Row],[fecha_ingreso]])/365.25)</f>
        <v>13</v>
      </c>
    </row>
    <row r="87" spans="1:13" x14ac:dyDescent="0.3">
      <c r="A87" t="s">
        <v>358</v>
      </c>
      <c r="B87" t="s">
        <v>359</v>
      </c>
      <c r="C87" t="s">
        <v>360</v>
      </c>
      <c r="D87" t="s">
        <v>24</v>
      </c>
      <c r="E87" s="1">
        <v>34932</v>
      </c>
      <c r="F87" s="1">
        <v>44305</v>
      </c>
      <c r="G87" t="s">
        <v>25</v>
      </c>
      <c r="H87" t="s">
        <v>361</v>
      </c>
      <c r="I87" t="s">
        <v>18</v>
      </c>
      <c r="J87">
        <v>2700</v>
      </c>
      <c r="K87" t="s">
        <v>34</v>
      </c>
      <c r="L87" t="s">
        <v>20</v>
      </c>
      <c r="M87" s="5">
        <f ca="1">INT((TODAY()-tbl_empleados[[#This Row],[fecha_ingreso]])/365.25)</f>
        <v>5</v>
      </c>
    </row>
    <row r="88" spans="1:13" x14ac:dyDescent="0.3">
      <c r="A88" t="s">
        <v>362</v>
      </c>
      <c r="B88" t="s">
        <v>227</v>
      </c>
      <c r="C88" t="s">
        <v>43</v>
      </c>
      <c r="D88" t="s">
        <v>15</v>
      </c>
      <c r="E88" s="1">
        <v>30689</v>
      </c>
      <c r="F88" s="1">
        <v>40360</v>
      </c>
      <c r="G88" t="s">
        <v>31</v>
      </c>
      <c r="H88" t="s">
        <v>363</v>
      </c>
      <c r="I88" t="s">
        <v>33</v>
      </c>
      <c r="J88">
        <v>3600</v>
      </c>
      <c r="K88" t="s">
        <v>19</v>
      </c>
      <c r="L88" t="s">
        <v>35</v>
      </c>
      <c r="M88" s="5">
        <f ca="1">INT((TODAY()-tbl_empleados[[#This Row],[fecha_ingreso]])/365.25)</f>
        <v>16</v>
      </c>
    </row>
    <row r="89" spans="1:13" x14ac:dyDescent="0.3">
      <c r="A89" t="s">
        <v>364</v>
      </c>
      <c r="B89" t="s">
        <v>365</v>
      </c>
      <c r="C89" t="s">
        <v>366</v>
      </c>
      <c r="D89" t="s">
        <v>24</v>
      </c>
      <c r="E89" s="1">
        <v>33008</v>
      </c>
      <c r="F89" s="1">
        <v>42604</v>
      </c>
      <c r="G89" t="s">
        <v>44</v>
      </c>
      <c r="H89" t="s">
        <v>367</v>
      </c>
      <c r="I89" t="s">
        <v>18</v>
      </c>
      <c r="J89">
        <v>3700</v>
      </c>
      <c r="K89" t="s">
        <v>19</v>
      </c>
      <c r="L89" t="s">
        <v>20</v>
      </c>
      <c r="M89" s="5">
        <f ca="1">INT((TODAY()-tbl_empleados[[#This Row],[fecha_ingreso]])/365.25)</f>
        <v>9</v>
      </c>
    </row>
    <row r="90" spans="1:13" x14ac:dyDescent="0.3">
      <c r="A90" t="s">
        <v>368</v>
      </c>
      <c r="B90" t="s">
        <v>369</v>
      </c>
      <c r="C90" t="s">
        <v>370</v>
      </c>
      <c r="D90" t="s">
        <v>15</v>
      </c>
      <c r="E90" s="1">
        <v>30226</v>
      </c>
      <c r="F90" s="1">
        <v>39553</v>
      </c>
      <c r="G90" t="s">
        <v>39</v>
      </c>
      <c r="H90" t="s">
        <v>371</v>
      </c>
      <c r="I90" t="s">
        <v>63</v>
      </c>
      <c r="J90">
        <v>9800</v>
      </c>
      <c r="K90" t="s">
        <v>27</v>
      </c>
      <c r="L90" t="s">
        <v>20</v>
      </c>
      <c r="M90" s="5">
        <f ca="1">INT((TODAY()-tbl_empleados[[#This Row],[fecha_ingreso]])/365.25)</f>
        <v>18</v>
      </c>
    </row>
    <row r="91" spans="1:13" x14ac:dyDescent="0.3">
      <c r="A91" t="s">
        <v>372</v>
      </c>
      <c r="B91" t="s">
        <v>373</v>
      </c>
      <c r="C91" t="s">
        <v>374</v>
      </c>
      <c r="D91" t="s">
        <v>24</v>
      </c>
      <c r="E91" s="1">
        <v>35508</v>
      </c>
      <c r="F91" s="1">
        <v>44753</v>
      </c>
      <c r="G91" t="s">
        <v>49</v>
      </c>
      <c r="H91" t="s">
        <v>375</v>
      </c>
      <c r="I91" t="s">
        <v>33</v>
      </c>
      <c r="J91">
        <v>2500</v>
      </c>
      <c r="K91" t="s">
        <v>19</v>
      </c>
      <c r="L91" t="s">
        <v>20</v>
      </c>
      <c r="M91" s="5">
        <f ca="1">INT((TODAY()-tbl_empleados[[#This Row],[fecha_ingreso]])/365.25)</f>
        <v>4</v>
      </c>
    </row>
    <row r="92" spans="1:13" x14ac:dyDescent="0.3">
      <c r="A92" t="s">
        <v>376</v>
      </c>
      <c r="B92" t="s">
        <v>377</v>
      </c>
      <c r="C92" t="s">
        <v>30</v>
      </c>
      <c r="D92" t="s">
        <v>15</v>
      </c>
      <c r="E92" s="1">
        <v>32504</v>
      </c>
      <c r="F92" s="1">
        <v>42125</v>
      </c>
      <c r="G92" t="s">
        <v>16</v>
      </c>
      <c r="H92" t="s">
        <v>229</v>
      </c>
      <c r="I92" t="s">
        <v>18</v>
      </c>
      <c r="J92">
        <v>3800</v>
      </c>
      <c r="K92" t="s">
        <v>19</v>
      </c>
      <c r="L92" t="s">
        <v>20</v>
      </c>
      <c r="M92" s="5">
        <f ca="1">INT((TODAY()-tbl_empleados[[#This Row],[fecha_ingreso]])/365.25)</f>
        <v>11</v>
      </c>
    </row>
    <row r="93" spans="1:13" x14ac:dyDescent="0.3">
      <c r="A93" t="s">
        <v>378</v>
      </c>
      <c r="B93" t="s">
        <v>379</v>
      </c>
      <c r="C93" t="s">
        <v>380</v>
      </c>
      <c r="D93" t="s">
        <v>24</v>
      </c>
      <c r="E93" s="1">
        <v>34154</v>
      </c>
      <c r="F93" s="1">
        <v>43787</v>
      </c>
      <c r="G93" t="s">
        <v>31</v>
      </c>
      <c r="H93" t="s">
        <v>381</v>
      </c>
      <c r="I93" t="s">
        <v>18</v>
      </c>
      <c r="J93">
        <v>2900</v>
      </c>
      <c r="K93" t="s">
        <v>34</v>
      </c>
      <c r="L93" t="s">
        <v>20</v>
      </c>
      <c r="M93" s="5">
        <f ca="1">INT((TODAY()-tbl_empleados[[#This Row],[fecha_ingreso]])/365.25)</f>
        <v>6</v>
      </c>
    </row>
    <row r="94" spans="1:13" x14ac:dyDescent="0.3">
      <c r="A94" t="s">
        <v>382</v>
      </c>
      <c r="B94" t="s">
        <v>383</v>
      </c>
      <c r="C94" t="s">
        <v>14</v>
      </c>
      <c r="D94" t="s">
        <v>15</v>
      </c>
      <c r="E94" s="1">
        <v>31878</v>
      </c>
      <c r="F94" s="1">
        <v>41673</v>
      </c>
      <c r="G94" t="s">
        <v>39</v>
      </c>
      <c r="H94" t="s">
        <v>384</v>
      </c>
      <c r="I94" t="s">
        <v>18</v>
      </c>
      <c r="J94">
        <v>6200</v>
      </c>
      <c r="K94" t="s">
        <v>27</v>
      </c>
      <c r="L94" t="s">
        <v>20</v>
      </c>
      <c r="M94" s="5">
        <f ca="1">INT((TODAY()-tbl_empleados[[#This Row],[fecha_ingreso]])/365.25)</f>
        <v>12</v>
      </c>
    </row>
    <row r="95" spans="1:13" x14ac:dyDescent="0.3">
      <c r="A95" t="s">
        <v>385</v>
      </c>
      <c r="B95" t="s">
        <v>386</v>
      </c>
      <c r="C95" t="s">
        <v>387</v>
      </c>
      <c r="D95" t="s">
        <v>24</v>
      </c>
      <c r="E95" s="1">
        <v>33631</v>
      </c>
      <c r="F95" s="1">
        <v>43164</v>
      </c>
      <c r="G95" t="s">
        <v>25</v>
      </c>
      <c r="H95" t="s">
        <v>26</v>
      </c>
      <c r="I95" t="s">
        <v>18</v>
      </c>
      <c r="J95">
        <v>2800</v>
      </c>
      <c r="K95" t="s">
        <v>19</v>
      </c>
      <c r="L95" t="s">
        <v>20</v>
      </c>
      <c r="M95" s="5">
        <f ca="1">INT((TODAY()-tbl_empleados[[#This Row],[fecha_ingreso]])/365.25)</f>
        <v>8</v>
      </c>
    </row>
    <row r="96" spans="1:13" x14ac:dyDescent="0.3">
      <c r="A96" t="s">
        <v>388</v>
      </c>
      <c r="B96" t="s">
        <v>264</v>
      </c>
      <c r="C96" t="s">
        <v>389</v>
      </c>
      <c r="D96" t="s">
        <v>15</v>
      </c>
      <c r="E96" s="1">
        <v>29803</v>
      </c>
      <c r="F96" s="1">
        <v>39253</v>
      </c>
      <c r="G96" t="s">
        <v>44</v>
      </c>
      <c r="H96" t="s">
        <v>390</v>
      </c>
      <c r="I96" t="s">
        <v>63</v>
      </c>
      <c r="J96">
        <v>9100</v>
      </c>
      <c r="K96" t="s">
        <v>27</v>
      </c>
      <c r="L96" t="s">
        <v>20</v>
      </c>
      <c r="M96" s="5">
        <f ca="1">INT((TODAY()-tbl_empleados[[#This Row],[fecha_ingreso]])/365.25)</f>
        <v>19</v>
      </c>
    </row>
    <row r="97" spans="1:13" x14ac:dyDescent="0.3">
      <c r="A97" t="s">
        <v>391</v>
      </c>
      <c r="B97" t="s">
        <v>392</v>
      </c>
      <c r="C97" t="s">
        <v>14</v>
      </c>
      <c r="D97" t="s">
        <v>24</v>
      </c>
      <c r="E97" s="1">
        <v>35391</v>
      </c>
      <c r="F97" s="1">
        <v>44466</v>
      </c>
      <c r="G97" t="s">
        <v>49</v>
      </c>
      <c r="H97" t="s">
        <v>393</v>
      </c>
      <c r="I97" t="s">
        <v>18</v>
      </c>
      <c r="J97">
        <v>3000</v>
      </c>
      <c r="K97" t="s">
        <v>19</v>
      </c>
      <c r="L97" t="s">
        <v>20</v>
      </c>
      <c r="M97" s="5">
        <f ca="1">INT((TODAY()-tbl_empleados[[#This Row],[fecha_ingreso]])/365.25)</f>
        <v>4</v>
      </c>
    </row>
    <row r="98" spans="1:13" x14ac:dyDescent="0.3">
      <c r="A98" t="s">
        <v>394</v>
      </c>
      <c r="B98" t="s">
        <v>395</v>
      </c>
      <c r="C98" t="s">
        <v>396</v>
      </c>
      <c r="D98" t="s">
        <v>15</v>
      </c>
      <c r="E98" s="1">
        <v>31197</v>
      </c>
      <c r="F98" s="1">
        <v>41000</v>
      </c>
      <c r="G98" t="s">
        <v>16</v>
      </c>
      <c r="H98" t="s">
        <v>397</v>
      </c>
      <c r="I98" t="s">
        <v>18</v>
      </c>
      <c r="J98">
        <v>5800</v>
      </c>
      <c r="K98" t="s">
        <v>27</v>
      </c>
      <c r="L98" t="s">
        <v>20</v>
      </c>
      <c r="M98" s="5">
        <f ca="1">INT((TODAY()-tbl_empleados[[#This Row],[fecha_ingreso]])/365.25)</f>
        <v>14</v>
      </c>
    </row>
    <row r="99" spans="1:13" x14ac:dyDescent="0.3">
      <c r="A99" t="s">
        <v>398</v>
      </c>
      <c r="B99" t="s">
        <v>399</v>
      </c>
      <c r="C99" t="s">
        <v>400</v>
      </c>
      <c r="D99" t="s">
        <v>24</v>
      </c>
      <c r="E99" s="1">
        <v>34382</v>
      </c>
      <c r="F99" s="1">
        <v>43957</v>
      </c>
      <c r="G99" t="s">
        <v>39</v>
      </c>
      <c r="H99" t="s">
        <v>401</v>
      </c>
      <c r="I99" t="s">
        <v>18</v>
      </c>
      <c r="J99">
        <v>4700</v>
      </c>
      <c r="K99" t="s">
        <v>27</v>
      </c>
      <c r="L99" t="s">
        <v>20</v>
      </c>
      <c r="M99" s="5">
        <f ca="1">INT((TODAY()-tbl_empleados[[#This Row],[fecha_ingreso]])/365.25)</f>
        <v>6</v>
      </c>
    </row>
    <row r="100" spans="1:13" x14ac:dyDescent="0.3">
      <c r="A100" t="s">
        <v>402</v>
      </c>
      <c r="B100" t="s">
        <v>403</v>
      </c>
      <c r="C100" t="s">
        <v>14</v>
      </c>
      <c r="D100" t="s">
        <v>15</v>
      </c>
      <c r="E100" s="1">
        <v>29426</v>
      </c>
      <c r="F100" s="1">
        <v>38726</v>
      </c>
      <c r="G100" t="s">
        <v>31</v>
      </c>
      <c r="H100" t="s">
        <v>404</v>
      </c>
      <c r="I100" t="s">
        <v>63</v>
      </c>
      <c r="J100">
        <v>10200</v>
      </c>
      <c r="K100" t="s">
        <v>27</v>
      </c>
      <c r="L100" t="s">
        <v>35</v>
      </c>
      <c r="M100" s="5">
        <f ca="1">INT((TODAY()-tbl_empleados[[#This Row],[fecha_ingreso]])/365.25)</f>
        <v>20</v>
      </c>
    </row>
    <row r="101" spans="1:13" x14ac:dyDescent="0.3">
      <c r="A101" t="s">
        <v>405</v>
      </c>
      <c r="B101" t="s">
        <v>406</v>
      </c>
      <c r="C101" t="s">
        <v>407</v>
      </c>
      <c r="D101" t="s">
        <v>24</v>
      </c>
      <c r="E101" s="1">
        <v>36251</v>
      </c>
      <c r="F101" s="1">
        <v>45323</v>
      </c>
      <c r="G101" t="s">
        <v>25</v>
      </c>
      <c r="H101" t="s">
        <v>262</v>
      </c>
      <c r="I101" t="s">
        <v>33</v>
      </c>
      <c r="J101">
        <v>1000</v>
      </c>
      <c r="K101" t="s">
        <v>34</v>
      </c>
      <c r="L101" t="s">
        <v>20</v>
      </c>
      <c r="M101" s="5">
        <f ca="1">INT((TODAY()-tbl_empleados[[#This Row],[fecha_ingreso]])/365.25)</f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09F0-3833-46A5-8EE9-8008AC9BACB0}">
  <dimension ref="A1:G8"/>
  <sheetViews>
    <sheetView workbookViewId="0">
      <selection activeCell="A10" sqref="A10"/>
    </sheetView>
  </sheetViews>
  <sheetFormatPr baseColWidth="10" defaultRowHeight="14.4" x14ac:dyDescent="0.3"/>
  <cols>
    <col min="1" max="1" width="16.77734375" bestFit="1" customWidth="1"/>
    <col min="2" max="2" width="18.88671875" bestFit="1" customWidth="1"/>
    <col min="3" max="3" width="17" bestFit="1" customWidth="1"/>
    <col min="4" max="4" width="17.33203125" bestFit="1" customWidth="1"/>
    <col min="6" max="6" width="16.88671875" customWidth="1"/>
    <col min="7" max="7" width="19.33203125" customWidth="1"/>
  </cols>
  <sheetData>
    <row r="1" spans="1:4" x14ac:dyDescent="0.3">
      <c r="A1" s="2" t="s">
        <v>413</v>
      </c>
      <c r="B1" t="s">
        <v>410</v>
      </c>
      <c r="C1" t="s">
        <v>415</v>
      </c>
      <c r="D1" t="s">
        <v>416</v>
      </c>
    </row>
    <row r="2" spans="1:4" x14ac:dyDescent="0.3">
      <c r="A2" s="3" t="s">
        <v>44</v>
      </c>
      <c r="B2" s="4">
        <v>5011.7647058823532</v>
      </c>
      <c r="C2" s="4">
        <v>1200</v>
      </c>
      <c r="D2" s="4">
        <v>14000</v>
      </c>
    </row>
    <row r="3" spans="1:4" x14ac:dyDescent="0.3">
      <c r="A3" s="3" t="s">
        <v>49</v>
      </c>
      <c r="B3" s="4">
        <v>4192.8571428571431</v>
      </c>
      <c r="C3" s="4">
        <v>2200</v>
      </c>
      <c r="D3" s="4">
        <v>10500</v>
      </c>
    </row>
    <row r="4" spans="1:4" x14ac:dyDescent="0.3">
      <c r="A4" s="3" t="s">
        <v>31</v>
      </c>
      <c r="B4" s="4">
        <v>4716.666666666667</v>
      </c>
      <c r="C4" s="4">
        <v>1900</v>
      </c>
      <c r="D4" s="4">
        <v>12000</v>
      </c>
    </row>
    <row r="5" spans="1:4" x14ac:dyDescent="0.3">
      <c r="A5" s="3" t="s">
        <v>25</v>
      </c>
      <c r="B5" s="4">
        <v>3450</v>
      </c>
      <c r="C5" s="4">
        <v>1000</v>
      </c>
      <c r="D5" s="4">
        <v>9500</v>
      </c>
    </row>
    <row r="6" spans="1:4" x14ac:dyDescent="0.3">
      <c r="A6" s="3" t="s">
        <v>39</v>
      </c>
      <c r="B6" s="4">
        <v>5420</v>
      </c>
      <c r="C6" s="4">
        <v>3800</v>
      </c>
      <c r="D6" s="4">
        <v>9800</v>
      </c>
    </row>
    <row r="7" spans="1:4" x14ac:dyDescent="0.3">
      <c r="A7" s="3" t="s">
        <v>16</v>
      </c>
      <c r="B7" s="4">
        <v>4558.8235294117649</v>
      </c>
      <c r="C7" s="4">
        <v>2400</v>
      </c>
      <c r="D7" s="4">
        <v>11000</v>
      </c>
    </row>
    <row r="8" spans="1:4" x14ac:dyDescent="0.3">
      <c r="A8" s="3" t="s">
        <v>408</v>
      </c>
      <c r="B8" s="4">
        <v>4630</v>
      </c>
      <c r="C8" s="4">
        <v>1000</v>
      </c>
      <c r="D8" s="4">
        <v>14000</v>
      </c>
    </row>
  </sheetData>
  <sortState xmlns:xlrd2="http://schemas.microsoft.com/office/spreadsheetml/2017/richdata2" ref="F2:G7">
    <sortCondition ref="G2:G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F4E2-907B-4EB1-9462-67B4A06BD548}">
  <dimension ref="A1:D9"/>
  <sheetViews>
    <sheetView workbookViewId="0">
      <selection activeCell="A11" sqref="A11"/>
    </sheetView>
  </sheetViews>
  <sheetFormatPr baseColWidth="10" defaultRowHeight="14.4" x14ac:dyDescent="0.3"/>
  <cols>
    <col min="1" max="1" width="20.6640625" bestFit="1" customWidth="1"/>
    <col min="2" max="2" width="14.88671875" customWidth="1"/>
    <col min="3" max="3" width="14.44140625" customWidth="1"/>
    <col min="6" max="6" width="20.6640625" customWidth="1"/>
    <col min="7" max="7" width="12" customWidth="1"/>
    <col min="8" max="8" width="12.77734375" customWidth="1"/>
  </cols>
  <sheetData>
    <row r="1" spans="1:4" x14ac:dyDescent="0.3">
      <c r="A1" s="2" t="s">
        <v>421</v>
      </c>
      <c r="B1" s="2" t="s">
        <v>417</v>
      </c>
    </row>
    <row r="2" spans="1:4" x14ac:dyDescent="0.3">
      <c r="A2" s="2" t="s">
        <v>413</v>
      </c>
      <c r="B2" t="s">
        <v>419</v>
      </c>
      <c r="C2" t="s">
        <v>420</v>
      </c>
      <c r="D2" t="s">
        <v>418</v>
      </c>
    </row>
    <row r="3" spans="1:4" x14ac:dyDescent="0.3">
      <c r="A3" s="3" t="s">
        <v>44</v>
      </c>
      <c r="B3">
        <v>10</v>
      </c>
      <c r="C3">
        <v>7</v>
      </c>
      <c r="D3">
        <v>17</v>
      </c>
    </row>
    <row r="4" spans="1:4" x14ac:dyDescent="0.3">
      <c r="A4" s="3" t="s">
        <v>49</v>
      </c>
      <c r="B4">
        <v>11</v>
      </c>
      <c r="C4">
        <v>3</v>
      </c>
      <c r="D4">
        <v>14</v>
      </c>
    </row>
    <row r="5" spans="1:4" x14ac:dyDescent="0.3">
      <c r="A5" s="3" t="s">
        <v>31</v>
      </c>
      <c r="B5">
        <v>3</v>
      </c>
      <c r="C5">
        <v>15</v>
      </c>
      <c r="D5">
        <v>18</v>
      </c>
    </row>
    <row r="6" spans="1:4" x14ac:dyDescent="0.3">
      <c r="A6" s="3" t="s">
        <v>25</v>
      </c>
      <c r="B6">
        <v>10</v>
      </c>
      <c r="C6">
        <v>4</v>
      </c>
      <c r="D6">
        <v>14</v>
      </c>
    </row>
    <row r="7" spans="1:4" x14ac:dyDescent="0.3">
      <c r="A7" s="3" t="s">
        <v>39</v>
      </c>
      <c r="B7">
        <v>9</v>
      </c>
      <c r="C7">
        <v>11</v>
      </c>
      <c r="D7">
        <v>20</v>
      </c>
    </row>
    <row r="8" spans="1:4" x14ac:dyDescent="0.3">
      <c r="A8" s="3" t="s">
        <v>16</v>
      </c>
      <c r="B8">
        <v>7</v>
      </c>
      <c r="C8">
        <v>10</v>
      </c>
      <c r="D8">
        <v>17</v>
      </c>
    </row>
    <row r="9" spans="1:4" x14ac:dyDescent="0.3">
      <c r="A9" s="3" t="s">
        <v>418</v>
      </c>
      <c r="B9">
        <v>50</v>
      </c>
      <c r="C9">
        <v>50</v>
      </c>
      <c r="D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AEAE-DA47-4EF2-9FFD-978DE47AD709}">
  <dimension ref="A1:C6"/>
  <sheetViews>
    <sheetView workbookViewId="0">
      <selection activeCell="A8" sqref="A8"/>
    </sheetView>
  </sheetViews>
  <sheetFormatPr baseColWidth="10" defaultRowHeight="14.4" x14ac:dyDescent="0.3"/>
  <cols>
    <col min="1" max="1" width="16.5546875" bestFit="1" customWidth="1"/>
    <col min="2" max="2" width="25.6640625" bestFit="1" customWidth="1"/>
    <col min="3" max="3" width="20.6640625" bestFit="1" customWidth="1"/>
    <col min="6" max="6" width="17.88671875" customWidth="1"/>
    <col min="7" max="7" width="19.21875" customWidth="1"/>
  </cols>
  <sheetData>
    <row r="1" spans="1:3" x14ac:dyDescent="0.3">
      <c r="A1" s="2" t="s">
        <v>422</v>
      </c>
      <c r="B1" t="s">
        <v>410</v>
      </c>
      <c r="C1" t="s">
        <v>414</v>
      </c>
    </row>
    <row r="2" spans="1:3" x14ac:dyDescent="0.3">
      <c r="A2" s="3" t="s">
        <v>63</v>
      </c>
      <c r="B2" s="4">
        <v>8923.8095238095229</v>
      </c>
      <c r="C2">
        <v>21</v>
      </c>
    </row>
    <row r="3" spans="1:3" x14ac:dyDescent="0.3">
      <c r="A3" s="3" t="s">
        <v>18</v>
      </c>
      <c r="B3" s="4">
        <v>3715.625</v>
      </c>
      <c r="C3">
        <v>64</v>
      </c>
    </row>
    <row r="4" spans="1:3" x14ac:dyDescent="0.3">
      <c r="A4" s="3" t="s">
        <v>33</v>
      </c>
      <c r="B4" s="4">
        <v>2607.6923076923076</v>
      </c>
      <c r="C4">
        <v>13</v>
      </c>
    </row>
    <row r="5" spans="1:3" x14ac:dyDescent="0.3">
      <c r="A5" s="3" t="s">
        <v>119</v>
      </c>
      <c r="B5" s="4">
        <v>1950</v>
      </c>
      <c r="C5">
        <v>2</v>
      </c>
    </row>
    <row r="6" spans="1:3" x14ac:dyDescent="0.3">
      <c r="A6" s="3" t="s">
        <v>408</v>
      </c>
      <c r="B6">
        <v>4630</v>
      </c>
      <c r="C6">
        <v>100</v>
      </c>
    </row>
  </sheetData>
  <sortState xmlns:xlrd2="http://schemas.microsoft.com/office/spreadsheetml/2017/richdata2" ref="F2:G5">
    <sortCondition ref="G2:G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1E33-4998-4CE8-8346-4673A451BC09}">
  <dimension ref="A1:C8"/>
  <sheetViews>
    <sheetView workbookViewId="0">
      <selection activeCell="A10" sqref="A10"/>
    </sheetView>
  </sheetViews>
  <sheetFormatPr baseColWidth="10" defaultRowHeight="14.4" x14ac:dyDescent="0.3"/>
  <cols>
    <col min="1" max="1" width="16.77734375" bestFit="1" customWidth="1"/>
    <col min="2" max="2" width="25.6640625" bestFit="1" customWidth="1"/>
    <col min="3" max="3" width="26.77734375" bestFit="1" customWidth="1"/>
    <col min="6" max="6" width="18.21875" customWidth="1"/>
    <col min="7" max="7" width="25.33203125" customWidth="1"/>
  </cols>
  <sheetData>
    <row r="1" spans="1:3" x14ac:dyDescent="0.3">
      <c r="A1" s="2" t="s">
        <v>413</v>
      </c>
      <c r="B1" t="s">
        <v>410</v>
      </c>
      <c r="C1" t="s">
        <v>411</v>
      </c>
    </row>
    <row r="2" spans="1:3" x14ac:dyDescent="0.3">
      <c r="A2" s="3" t="s">
        <v>44</v>
      </c>
      <c r="B2" s="4">
        <v>5011.7647058823532</v>
      </c>
      <c r="C2" s="5">
        <v>11.117647058823529</v>
      </c>
    </row>
    <row r="3" spans="1:3" x14ac:dyDescent="0.3">
      <c r="A3" s="3" t="s">
        <v>49</v>
      </c>
      <c r="B3" s="4">
        <v>4192.8571428571431</v>
      </c>
      <c r="C3" s="5">
        <v>7.5</v>
      </c>
    </row>
    <row r="4" spans="1:3" x14ac:dyDescent="0.3">
      <c r="A4" s="3" t="s">
        <v>31</v>
      </c>
      <c r="B4" s="4">
        <v>4716.666666666667</v>
      </c>
      <c r="C4" s="5">
        <v>14.555555555555555</v>
      </c>
    </row>
    <row r="5" spans="1:3" x14ac:dyDescent="0.3">
      <c r="A5" s="3" t="s">
        <v>25</v>
      </c>
      <c r="B5" s="4">
        <v>3450</v>
      </c>
      <c r="C5" s="5">
        <v>9.3571428571428577</v>
      </c>
    </row>
    <row r="6" spans="1:3" x14ac:dyDescent="0.3">
      <c r="A6" s="3" t="s">
        <v>39</v>
      </c>
      <c r="B6" s="4">
        <v>5420</v>
      </c>
      <c r="C6" s="5">
        <v>10</v>
      </c>
    </row>
    <row r="7" spans="1:3" x14ac:dyDescent="0.3">
      <c r="A7" s="3" t="s">
        <v>16</v>
      </c>
      <c r="B7" s="4">
        <v>4558.8235294117649</v>
      </c>
      <c r="C7" s="5">
        <v>10.470588235294118</v>
      </c>
    </row>
    <row r="8" spans="1:3" x14ac:dyDescent="0.3">
      <c r="A8" s="3" t="s">
        <v>408</v>
      </c>
      <c r="B8">
        <v>4630</v>
      </c>
      <c r="C8" s="5">
        <v>10.65</v>
      </c>
    </row>
  </sheetData>
  <sortState xmlns:xlrd2="http://schemas.microsoft.com/office/spreadsheetml/2017/richdata2" ref="F2:G7">
    <sortCondition ref="G2:G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DF5F-F388-4A83-B615-F8E1E9859646}">
  <dimension ref="A1:E9"/>
  <sheetViews>
    <sheetView workbookViewId="0">
      <selection activeCell="A11" sqref="A11"/>
    </sheetView>
  </sheetViews>
  <sheetFormatPr baseColWidth="10" defaultRowHeight="14.4" x14ac:dyDescent="0.3"/>
  <cols>
    <col min="1" max="1" width="20.6640625" bestFit="1" customWidth="1"/>
    <col min="2" max="2" width="20.33203125" bestFit="1" customWidth="1"/>
    <col min="3" max="3" width="9.109375" bestFit="1" customWidth="1"/>
    <col min="4" max="4" width="7.21875" bestFit="1" customWidth="1"/>
    <col min="7" max="7" width="17.6640625" customWidth="1"/>
  </cols>
  <sheetData>
    <row r="1" spans="1:5" x14ac:dyDescent="0.3">
      <c r="A1" s="2" t="s">
        <v>421</v>
      </c>
      <c r="B1" s="2" t="s">
        <v>412</v>
      </c>
    </row>
    <row r="2" spans="1:5" x14ac:dyDescent="0.3">
      <c r="A2" s="2" t="s">
        <v>413</v>
      </c>
      <c r="B2" t="s">
        <v>19</v>
      </c>
      <c r="C2" t="s">
        <v>27</v>
      </c>
      <c r="D2" t="s">
        <v>34</v>
      </c>
      <c r="E2" t="s">
        <v>423</v>
      </c>
    </row>
    <row r="3" spans="1:5" x14ac:dyDescent="0.3">
      <c r="A3" s="3" t="s">
        <v>44</v>
      </c>
      <c r="B3">
        <v>9</v>
      </c>
      <c r="C3">
        <v>6</v>
      </c>
      <c r="D3">
        <v>2</v>
      </c>
      <c r="E3">
        <v>17</v>
      </c>
    </row>
    <row r="4" spans="1:5" x14ac:dyDescent="0.3">
      <c r="A4" s="3" t="s">
        <v>49</v>
      </c>
      <c r="B4">
        <v>9</v>
      </c>
      <c r="C4">
        <v>3</v>
      </c>
      <c r="D4">
        <v>2</v>
      </c>
      <c r="E4">
        <v>14</v>
      </c>
    </row>
    <row r="5" spans="1:5" x14ac:dyDescent="0.3">
      <c r="A5" s="3" t="s">
        <v>31</v>
      </c>
      <c r="B5">
        <v>8</v>
      </c>
      <c r="C5">
        <v>5</v>
      </c>
      <c r="D5">
        <v>5</v>
      </c>
      <c r="E5">
        <v>18</v>
      </c>
    </row>
    <row r="6" spans="1:5" x14ac:dyDescent="0.3">
      <c r="A6" s="3" t="s">
        <v>25</v>
      </c>
      <c r="B6">
        <v>7</v>
      </c>
      <c r="C6">
        <v>3</v>
      </c>
      <c r="D6">
        <v>4</v>
      </c>
      <c r="E6">
        <v>14</v>
      </c>
    </row>
    <row r="7" spans="1:5" x14ac:dyDescent="0.3">
      <c r="A7" s="3" t="s">
        <v>39</v>
      </c>
      <c r="B7">
        <v>5</v>
      </c>
      <c r="C7">
        <v>15</v>
      </c>
      <c r="E7">
        <v>20</v>
      </c>
    </row>
    <row r="8" spans="1:5" x14ac:dyDescent="0.3">
      <c r="A8" s="3" t="s">
        <v>16</v>
      </c>
      <c r="B8">
        <v>8</v>
      </c>
      <c r="C8">
        <v>5</v>
      </c>
      <c r="D8">
        <v>4</v>
      </c>
      <c r="E8">
        <v>17</v>
      </c>
    </row>
    <row r="9" spans="1:5" x14ac:dyDescent="0.3">
      <c r="A9" s="3" t="s">
        <v>423</v>
      </c>
      <c r="B9">
        <v>46</v>
      </c>
      <c r="C9">
        <v>37</v>
      </c>
      <c r="D9">
        <v>17</v>
      </c>
      <c r="E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FBC2-63F1-4B6F-8B69-A5F091278B05}">
  <dimension ref="A1:I23"/>
  <sheetViews>
    <sheetView workbookViewId="0">
      <selection activeCell="A28" sqref="A28"/>
    </sheetView>
  </sheetViews>
  <sheetFormatPr baseColWidth="10" defaultRowHeight="14.4" x14ac:dyDescent="0.3"/>
  <cols>
    <col min="1" max="1" width="20" customWidth="1"/>
    <col min="2" max="2" width="23.109375" customWidth="1"/>
    <col min="6" max="6" width="20.109375" customWidth="1"/>
    <col min="7" max="7" width="24.21875" customWidth="1"/>
  </cols>
  <sheetData>
    <row r="1" spans="1:9" x14ac:dyDescent="0.3">
      <c r="A1" s="6" t="s">
        <v>413</v>
      </c>
      <c r="B1" s="6" t="s">
        <v>410</v>
      </c>
      <c r="F1" s="6" t="s">
        <v>413</v>
      </c>
      <c r="G1" s="6" t="s">
        <v>411</v>
      </c>
    </row>
    <row r="2" spans="1:9" x14ac:dyDescent="0.3">
      <c r="A2" s="3" t="s">
        <v>25</v>
      </c>
      <c r="B2" s="4">
        <v>3450</v>
      </c>
      <c r="F2" s="3" t="s">
        <v>49</v>
      </c>
      <c r="G2" s="5">
        <v>7.5</v>
      </c>
    </row>
    <row r="3" spans="1:9" x14ac:dyDescent="0.3">
      <c r="A3" s="3" t="s">
        <v>49</v>
      </c>
      <c r="B3" s="4">
        <v>4192.8571428571431</v>
      </c>
      <c r="F3" s="3" t="s">
        <v>25</v>
      </c>
      <c r="G3" s="5">
        <v>9.3571428571428594</v>
      </c>
    </row>
    <row r="4" spans="1:9" x14ac:dyDescent="0.3">
      <c r="A4" s="3" t="s">
        <v>16</v>
      </c>
      <c r="B4" s="4">
        <v>4558.8235294117649</v>
      </c>
      <c r="F4" s="3" t="s">
        <v>39</v>
      </c>
      <c r="G4" s="5">
        <v>10</v>
      </c>
    </row>
    <row r="5" spans="1:9" x14ac:dyDescent="0.3">
      <c r="A5" s="3" t="s">
        <v>31</v>
      </c>
      <c r="B5" s="4">
        <v>4716.666666666667</v>
      </c>
      <c r="F5" s="3" t="s">
        <v>16</v>
      </c>
      <c r="G5" s="5">
        <v>10.470588235294118</v>
      </c>
    </row>
    <row r="6" spans="1:9" x14ac:dyDescent="0.3">
      <c r="A6" s="3" t="s">
        <v>44</v>
      </c>
      <c r="B6" s="4">
        <v>5011.7647058823532</v>
      </c>
      <c r="F6" s="3" t="s">
        <v>44</v>
      </c>
      <c r="G6" s="5">
        <v>11.117647058823529</v>
      </c>
    </row>
    <row r="7" spans="1:9" x14ac:dyDescent="0.3">
      <c r="A7" s="3" t="s">
        <v>39</v>
      </c>
      <c r="B7" s="4">
        <v>5420</v>
      </c>
      <c r="F7" s="3" t="s">
        <v>31</v>
      </c>
      <c r="G7" s="5">
        <v>14.555555555555555</v>
      </c>
    </row>
    <row r="10" spans="1:9" x14ac:dyDescent="0.3">
      <c r="A10" s="6" t="s">
        <v>413</v>
      </c>
      <c r="B10" s="6" t="s">
        <v>419</v>
      </c>
      <c r="C10" s="6" t="s">
        <v>420</v>
      </c>
      <c r="F10" s="6" t="s">
        <v>413</v>
      </c>
      <c r="G10" s="6" t="s">
        <v>19</v>
      </c>
      <c r="H10" s="6" t="s">
        <v>27</v>
      </c>
      <c r="I10" s="6" t="s">
        <v>34</v>
      </c>
    </row>
    <row r="11" spans="1:9" x14ac:dyDescent="0.3">
      <c r="A11" s="3" t="s">
        <v>44</v>
      </c>
      <c r="B11">
        <v>10</v>
      </c>
      <c r="C11">
        <v>7</v>
      </c>
      <c r="F11" s="3" t="s">
        <v>44</v>
      </c>
      <c r="G11">
        <v>9</v>
      </c>
      <c r="H11">
        <v>6</v>
      </c>
      <c r="I11">
        <v>2</v>
      </c>
    </row>
    <row r="12" spans="1:9" x14ac:dyDescent="0.3">
      <c r="A12" s="3" t="s">
        <v>49</v>
      </c>
      <c r="B12">
        <v>11</v>
      </c>
      <c r="C12">
        <v>3</v>
      </c>
      <c r="F12" s="3" t="s">
        <v>49</v>
      </c>
      <c r="G12">
        <v>9</v>
      </c>
      <c r="H12">
        <v>3</v>
      </c>
      <c r="I12">
        <v>2</v>
      </c>
    </row>
    <row r="13" spans="1:9" x14ac:dyDescent="0.3">
      <c r="A13" s="3" t="s">
        <v>31</v>
      </c>
      <c r="B13">
        <v>3</v>
      </c>
      <c r="C13">
        <v>15</v>
      </c>
      <c r="F13" s="3" t="s">
        <v>31</v>
      </c>
      <c r="G13">
        <v>8</v>
      </c>
      <c r="H13">
        <v>5</v>
      </c>
      <c r="I13">
        <v>5</v>
      </c>
    </row>
    <row r="14" spans="1:9" x14ac:dyDescent="0.3">
      <c r="A14" s="3" t="s">
        <v>25</v>
      </c>
      <c r="B14">
        <v>10</v>
      </c>
      <c r="C14">
        <v>4</v>
      </c>
      <c r="F14" s="3" t="s">
        <v>25</v>
      </c>
      <c r="G14">
        <v>7</v>
      </c>
      <c r="H14">
        <v>3</v>
      </c>
      <c r="I14">
        <v>4</v>
      </c>
    </row>
    <row r="15" spans="1:9" x14ac:dyDescent="0.3">
      <c r="A15" s="3" t="s">
        <v>39</v>
      </c>
      <c r="B15">
        <v>9</v>
      </c>
      <c r="C15">
        <v>11</v>
      </c>
      <c r="F15" s="3" t="s">
        <v>39</v>
      </c>
      <c r="G15">
        <v>5</v>
      </c>
      <c r="H15">
        <v>15</v>
      </c>
    </row>
    <row r="16" spans="1:9" x14ac:dyDescent="0.3">
      <c r="A16" s="3" t="s">
        <v>16</v>
      </c>
      <c r="B16">
        <v>7</v>
      </c>
      <c r="C16">
        <v>10</v>
      </c>
      <c r="F16" s="3" t="s">
        <v>16</v>
      </c>
      <c r="G16">
        <v>8</v>
      </c>
      <c r="H16">
        <v>5</v>
      </c>
      <c r="I16">
        <v>4</v>
      </c>
    </row>
    <row r="19" spans="1:2" x14ac:dyDescent="0.3">
      <c r="A19" s="6" t="s">
        <v>422</v>
      </c>
      <c r="B19" s="6" t="s">
        <v>410</v>
      </c>
    </row>
    <row r="20" spans="1:2" x14ac:dyDescent="0.3">
      <c r="A20" s="3" t="s">
        <v>119</v>
      </c>
      <c r="B20" s="4">
        <v>1950</v>
      </c>
    </row>
    <row r="21" spans="1:2" x14ac:dyDescent="0.3">
      <c r="A21" s="3" t="s">
        <v>33</v>
      </c>
      <c r="B21" s="4">
        <v>2607.6923076923076</v>
      </c>
    </row>
    <row r="22" spans="1:2" x14ac:dyDescent="0.3">
      <c r="A22" s="3" t="s">
        <v>18</v>
      </c>
      <c r="B22" s="4">
        <v>3715.625</v>
      </c>
    </row>
    <row r="23" spans="1:2" x14ac:dyDescent="0.3">
      <c r="A23" s="3" t="s">
        <v>63</v>
      </c>
      <c r="B23" s="4">
        <v>8923.8095238095229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50E7F-9750-4B7F-8597-AB614465C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Data</vt:lpstr>
      <vt:lpstr>Salarios</vt:lpstr>
      <vt:lpstr>Headcount</vt:lpstr>
      <vt:lpstr>Educacion</vt:lpstr>
      <vt:lpstr>Antiguedad</vt:lpstr>
      <vt:lpstr>Desempeno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u20181a817 (Yuri Lara, Carlos Andre)</dc:creator>
  <cp:lastModifiedBy>u20181a817 (Yuri Lara, Carlos Andre)</cp:lastModifiedBy>
  <dcterms:created xsi:type="dcterms:W3CDTF">2026-07-29T06:41:55Z</dcterms:created>
  <dcterms:modified xsi:type="dcterms:W3CDTF">2026-08-03T07:05:52Z</dcterms:modified>
</cp:coreProperties>
</file>